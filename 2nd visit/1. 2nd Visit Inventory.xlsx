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qeel\Desktop\shorkipresentation\2nd visit\"/>
    </mc:Choice>
  </mc:AlternateContent>
  <xr:revisionPtr revIDLastSave="0" documentId="13_ncr:1_{7F94876C-C39D-45F9-8126-3FA462456D6B}" xr6:coauthVersionLast="47" xr6:coauthVersionMax="47" xr10:uidLastSave="{00000000-0000-0000-0000-000000000000}"/>
  <bookViews>
    <workbookView xWindow="-108" yWindow="-108" windowWidth="23256" windowHeight="12456" tabRatio="884" firstSheet="19" activeTab="19" xr2:uid="{00000000-000D-0000-FFFF-FFFF00000000}"/>
  </bookViews>
  <sheets>
    <sheet name="Estimated Exp" sheetId="3" r:id="rId1"/>
    <sheet name="Estimated Exp (2)" sheetId="4" r:id="rId2"/>
    <sheet name="Payment 22-09-2025" sheetId="6" r:id="rId3"/>
    <sheet name="Payment 12-09-2025  made" sheetId="5" r:id="rId4"/>
    <sheet name="Payment 06-10-2025  made " sheetId="7" r:id="rId5"/>
    <sheet name="Payment 21-10-2025  made " sheetId="8" r:id="rId6"/>
    <sheet name="Payment 25-10-2025  made " sheetId="9" r:id="rId7"/>
    <sheet name=" 06-11-2025  Addition" sheetId="10" r:id="rId8"/>
    <sheet name="Payment 18-11-2025  made" sheetId="11" r:id="rId9"/>
    <sheet name="Summery 18-11-2025" sheetId="12" r:id="rId10"/>
    <sheet name="26-12-2025 Report" sheetId="13" r:id="rId11"/>
    <sheet name="26-12-2025 Report without land " sheetId="14" r:id="rId12"/>
    <sheet name="26-12-2025 Report without  (2)" sheetId="20" r:id="rId13"/>
    <sheet name="26-12-2025 Report without " sheetId="15" r:id="rId14"/>
    <sheet name="26-12-2025 Report without   (3" sheetId="21" r:id="rId15"/>
    <sheet name="26-12-2025 Report without  (3)" sheetId="22" r:id="rId16"/>
    <sheet name="Sheet3" sheetId="23" r:id="rId17"/>
    <sheet name="26-12-2025 Report without  (5)" sheetId="26" r:id="rId18"/>
    <sheet name="14-01-2025 Report without   (6" sheetId="27" r:id="rId19"/>
    <sheet name="Inventory " sheetId="32" r:id="rId20"/>
  </sheets>
  <definedNames>
    <definedName name="_xlnm.Print_Area" localSheetId="7">' 06-11-2025  Addition'!$A$1:$E$61</definedName>
    <definedName name="_xlnm.Print_Area" localSheetId="19">'Inventory '!$B$2:$P$16</definedName>
    <definedName name="_xlnm.Print_Area" localSheetId="4">'Payment 06-10-2025  made '!$A$1:$F$49</definedName>
    <definedName name="_xlnm.Print_Area" localSheetId="3">'Payment 12-09-2025  made'!$A$1:$F$64</definedName>
    <definedName name="_xlnm.Print_Area" localSheetId="8">'Payment 18-11-2025  made'!$A$1:$E$49</definedName>
    <definedName name="_xlnm.Print_Area" localSheetId="5">'Payment 21-10-2025  made '!$A$1:$F$49</definedName>
    <definedName name="_xlnm.Print_Area" localSheetId="2">'Payment 22-09-2025'!$B$1:$G$14</definedName>
    <definedName name="_xlnm.Print_Area" localSheetId="6">'Payment 25-10-2025  made '!$A$1:$E$60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32" l="1"/>
  <c r="J14" i="32"/>
  <c r="J13" i="32"/>
  <c r="J12" i="32"/>
  <c r="J11" i="32"/>
  <c r="J10" i="32"/>
  <c r="J9" i="32"/>
  <c r="J8" i="32"/>
  <c r="J7" i="32"/>
  <c r="F34" i="32"/>
  <c r="F33" i="32"/>
  <c r="F32" i="32"/>
  <c r="F31" i="32"/>
  <c r="F30" i="32"/>
  <c r="F29" i="32"/>
  <c r="F28" i="32"/>
  <c r="F27" i="32"/>
  <c r="F26" i="32"/>
  <c r="F25" i="32"/>
  <c r="F24" i="32"/>
  <c r="F23" i="32"/>
  <c r="F22" i="32"/>
  <c r="F21" i="32"/>
  <c r="F14" i="32"/>
  <c r="F13" i="32"/>
  <c r="F12" i="32"/>
  <c r="F11" i="32"/>
  <c r="F10" i="32"/>
  <c r="F9" i="32"/>
  <c r="F8" i="32"/>
  <c r="F7" i="32"/>
  <c r="F35" i="32" l="1"/>
  <c r="J15" i="32"/>
  <c r="F15" i="32"/>
  <c r="J42" i="27" l="1"/>
  <c r="J43" i="27"/>
  <c r="J44" i="27"/>
  <c r="J45" i="27"/>
  <c r="J46" i="27"/>
  <c r="J47" i="27"/>
  <c r="J40" i="27"/>
  <c r="J41" i="27"/>
  <c r="J39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E34" i="27"/>
  <c r="E33" i="27"/>
  <c r="E32" i="27"/>
  <c r="E31" i="27"/>
  <c r="J27" i="27"/>
  <c r="J28" i="27" s="1"/>
  <c r="E27" i="27"/>
  <c r="E26" i="27"/>
  <c r="E25" i="27"/>
  <c r="E24" i="27"/>
  <c r="E23" i="27"/>
  <c r="E22" i="27"/>
  <c r="E21" i="27"/>
  <c r="E20" i="27"/>
  <c r="E19" i="27"/>
  <c r="E18" i="27"/>
  <c r="J15" i="27"/>
  <c r="J14" i="27"/>
  <c r="E14" i="27"/>
  <c r="J13" i="27"/>
  <c r="E13" i="27"/>
  <c r="J12" i="27"/>
  <c r="E12" i="27"/>
  <c r="E11" i="27"/>
  <c r="E10" i="27"/>
  <c r="E9" i="27"/>
  <c r="E8" i="27"/>
  <c r="E7" i="27"/>
  <c r="E15" i="27" l="1"/>
  <c r="E35" i="27"/>
  <c r="E28" i="27"/>
  <c r="J36" i="27"/>
  <c r="J63" i="27"/>
  <c r="E36" i="27"/>
  <c r="J23" i="26"/>
  <c r="A6" i="26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5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E27" i="26"/>
  <c r="E26" i="26"/>
  <c r="E25" i="26"/>
  <c r="E24" i="26"/>
  <c r="J7" i="26"/>
  <c r="E7" i="26"/>
  <c r="E23" i="26"/>
  <c r="E22" i="26"/>
  <c r="E21" i="26"/>
  <c r="E20" i="26"/>
  <c r="E19" i="26"/>
  <c r="E18" i="26"/>
  <c r="E17" i="26"/>
  <c r="E16" i="26"/>
  <c r="E15" i="26"/>
  <c r="J6" i="26"/>
  <c r="E6" i="26"/>
  <c r="J5" i="26"/>
  <c r="E5" i="26"/>
  <c r="J4" i="26"/>
  <c r="E4" i="26"/>
  <c r="E14" i="26"/>
  <c r="E13" i="26"/>
  <c r="E12" i="26"/>
  <c r="E11" i="26"/>
  <c r="E10" i="26"/>
  <c r="E19" i="23"/>
  <c r="E18" i="23"/>
  <c r="E16" i="23"/>
  <c r="E14" i="23"/>
  <c r="E9" i="23"/>
  <c r="E8" i="23"/>
  <c r="E6" i="23"/>
  <c r="E5" i="23"/>
  <c r="E4" i="23"/>
  <c r="E3" i="23"/>
  <c r="E2" i="23"/>
  <c r="E39" i="22"/>
  <c r="E63" i="22" s="1"/>
  <c r="E51" i="22"/>
  <c r="E55" i="22"/>
  <c r="E56" i="22"/>
  <c r="E41" i="22"/>
  <c r="E40" i="22"/>
  <c r="E42" i="22"/>
  <c r="E43" i="22"/>
  <c r="E45" i="22"/>
  <c r="E46" i="22"/>
  <c r="E53" i="22"/>
  <c r="J9" i="22"/>
  <c r="J12" i="22"/>
  <c r="J18" i="22"/>
  <c r="J28" i="22" s="1"/>
  <c r="E34" i="22"/>
  <c r="E33" i="22"/>
  <c r="E32" i="22"/>
  <c r="E31" i="22"/>
  <c r="E27" i="22"/>
  <c r="E26" i="22"/>
  <c r="E25" i="22"/>
  <c r="E24" i="22"/>
  <c r="E23" i="22"/>
  <c r="E22" i="22"/>
  <c r="E21" i="22"/>
  <c r="E20" i="22"/>
  <c r="E19" i="22"/>
  <c r="E18" i="22"/>
  <c r="E14" i="22"/>
  <c r="E13" i="22"/>
  <c r="E12" i="22"/>
  <c r="E11" i="22"/>
  <c r="E10" i="22"/>
  <c r="E9" i="22"/>
  <c r="E8" i="22"/>
  <c r="E5" i="22"/>
  <c r="E29" i="21"/>
  <c r="E28" i="21"/>
  <c r="E27" i="21"/>
  <c r="E26" i="21"/>
  <c r="E30" i="21" s="1"/>
  <c r="E23" i="21"/>
  <c r="E22" i="21"/>
  <c r="E21" i="21"/>
  <c r="E20" i="21"/>
  <c r="E19" i="21"/>
  <c r="E18" i="21"/>
  <c r="E17" i="21"/>
  <c r="E16" i="21"/>
  <c r="E24" i="21" s="1"/>
  <c r="E15" i="21"/>
  <c r="E14" i="21"/>
  <c r="E11" i="21"/>
  <c r="E10" i="21"/>
  <c r="E9" i="21"/>
  <c r="E8" i="21"/>
  <c r="E7" i="21"/>
  <c r="E29" i="15"/>
  <c r="E28" i="15"/>
  <c r="E27" i="15"/>
  <c r="E26" i="15"/>
  <c r="E5" i="14"/>
  <c r="E6" i="14"/>
  <c r="E30" i="15" l="1"/>
  <c r="E26" i="23"/>
  <c r="J15" i="22"/>
  <c r="J36" i="22" s="1"/>
  <c r="E32" i="26"/>
  <c r="J32" i="26"/>
  <c r="E35" i="22"/>
  <c r="E28" i="22"/>
  <c r="E15" i="22"/>
  <c r="E12" i="21"/>
  <c r="J14" i="15"/>
  <c r="K14" i="15"/>
  <c r="H14" i="15"/>
  <c r="E7" i="15"/>
  <c r="H7" i="15"/>
  <c r="J7" i="15"/>
  <c r="K7" i="15"/>
  <c r="E10" i="15"/>
  <c r="H10" i="15"/>
  <c r="J10" i="15"/>
  <c r="K10" i="15"/>
  <c r="E14" i="15"/>
  <c r="E26" i="20"/>
  <c r="E25" i="20"/>
  <c r="E24" i="20"/>
  <c r="E23" i="20"/>
  <c r="E22" i="20"/>
  <c r="E21" i="20"/>
  <c r="E20" i="20"/>
  <c r="E19" i="20"/>
  <c r="E18" i="20"/>
  <c r="J17" i="20"/>
  <c r="K17" i="20" s="1"/>
  <c r="H17" i="20"/>
  <c r="E17" i="20"/>
  <c r="E14" i="20"/>
  <c r="E13" i="20"/>
  <c r="J12" i="20"/>
  <c r="K12" i="20" s="1"/>
  <c r="H12" i="20"/>
  <c r="E12" i="20"/>
  <c r="E15" i="20" s="1"/>
  <c r="E11" i="20"/>
  <c r="E10" i="20"/>
  <c r="J9" i="20"/>
  <c r="K9" i="20" s="1"/>
  <c r="H9" i="20"/>
  <c r="E9" i="20"/>
  <c r="E8" i="20"/>
  <c r="J5" i="20"/>
  <c r="K5" i="20" s="1"/>
  <c r="H5" i="20"/>
  <c r="E5" i="20"/>
  <c r="E23" i="15"/>
  <c r="E22" i="15"/>
  <c r="E21" i="15"/>
  <c r="E20" i="15"/>
  <c r="E19" i="15"/>
  <c r="E18" i="15"/>
  <c r="E17" i="15"/>
  <c r="E16" i="15"/>
  <c r="E15" i="15"/>
  <c r="E11" i="15"/>
  <c r="E9" i="15"/>
  <c r="E8" i="15"/>
  <c r="E27" i="20" l="1"/>
  <c r="E28" i="20" s="1"/>
  <c r="E36" i="22"/>
  <c r="E12" i="15"/>
  <c r="E24" i="15"/>
  <c r="E9" i="14"/>
  <c r="E36" i="14"/>
  <c r="E35" i="14"/>
  <c r="E34" i="14"/>
  <c r="E33" i="14"/>
  <c r="E30" i="14"/>
  <c r="E29" i="14"/>
  <c r="E28" i="14"/>
  <c r="E27" i="14"/>
  <c r="E26" i="14"/>
  <c r="E25" i="14"/>
  <c r="E24" i="14"/>
  <c r="E23" i="14"/>
  <c r="E22" i="14"/>
  <c r="E21" i="14"/>
  <c r="E18" i="14"/>
  <c r="E17" i="14"/>
  <c r="E16" i="14"/>
  <c r="E15" i="14"/>
  <c r="E14" i="14"/>
  <c r="E13" i="14"/>
  <c r="E12" i="14"/>
  <c r="E19" i="14" l="1"/>
  <c r="E7" i="14"/>
  <c r="E37" i="14"/>
  <c r="E31" i="14"/>
  <c r="E42" i="14" l="1"/>
  <c r="C14" i="13"/>
  <c r="C9" i="13"/>
  <c r="D8" i="13"/>
  <c r="E8" i="13" s="1"/>
  <c r="D7" i="13"/>
  <c r="E7" i="13" s="1"/>
  <c r="D6" i="13"/>
  <c r="E6" i="13" s="1"/>
  <c r="D5" i="13"/>
  <c r="E5" i="13" s="1"/>
  <c r="E4" i="13"/>
  <c r="D4" i="13"/>
  <c r="D3" i="13"/>
  <c r="D9" i="13" l="1"/>
  <c r="E3" i="13"/>
  <c r="E9" i="13" s="1"/>
  <c r="C15" i="12"/>
  <c r="D9" i="12" l="1"/>
  <c r="E9" i="12" s="1"/>
  <c r="D6" i="12"/>
  <c r="E6" i="12" s="1"/>
  <c r="D5" i="12"/>
  <c r="E5" i="12" s="1"/>
  <c r="D4" i="12"/>
  <c r="E4" i="12" s="1"/>
  <c r="D3" i="12"/>
  <c r="C10" i="12"/>
  <c r="E8" i="12"/>
  <c r="D7" i="12"/>
  <c r="E7" i="12" s="1"/>
  <c r="E38" i="11"/>
  <c r="D10" i="12" l="1"/>
  <c r="E3" i="12"/>
  <c r="E10" i="12" s="1"/>
  <c r="E33" i="11"/>
  <c r="E28" i="11"/>
  <c r="E7" i="11"/>
  <c r="E13" i="11"/>
  <c r="E11" i="11"/>
  <c r="E10" i="11"/>
  <c r="J36" i="11"/>
  <c r="I32" i="11"/>
  <c r="I31" i="11"/>
  <c r="G27" i="11"/>
  <c r="E17" i="11" l="1"/>
  <c r="E39" i="11" s="1"/>
  <c r="E51" i="9"/>
  <c r="E52" i="10"/>
  <c r="C53" i="10" l="1"/>
  <c r="E51" i="10" l="1"/>
  <c r="D50" i="10"/>
  <c r="E50" i="10" s="1"/>
  <c r="D49" i="10"/>
  <c r="E49" i="10" s="1"/>
  <c r="D48" i="10"/>
  <c r="E48" i="10" s="1"/>
  <c r="D47" i="10"/>
  <c r="E47" i="10" s="1"/>
  <c r="D46" i="10"/>
  <c r="E42" i="10"/>
  <c r="J41" i="10"/>
  <c r="E38" i="10"/>
  <c r="I37" i="10"/>
  <c r="I36" i="10"/>
  <c r="E31" i="10"/>
  <c r="G30" i="10"/>
  <c r="G29" i="10"/>
  <c r="E21" i="10"/>
  <c r="E8" i="10"/>
  <c r="D53" i="10" l="1"/>
  <c r="E43" i="10"/>
  <c r="E46" i="10"/>
  <c r="E53" i="10" s="1"/>
  <c r="E31" i="5" l="1"/>
  <c r="E32" i="5"/>
  <c r="E33" i="5"/>
  <c r="E31" i="9"/>
  <c r="J41" i="9" l="1"/>
  <c r="D50" i="9" l="1"/>
  <c r="E50" i="9" s="1"/>
  <c r="D49" i="9"/>
  <c r="E49" i="9" s="1"/>
  <c r="D48" i="9"/>
  <c r="E48" i="9" s="1"/>
  <c r="D47" i="9"/>
  <c r="E47" i="9" s="1"/>
  <c r="D46" i="9"/>
  <c r="E46" i="9" s="1"/>
  <c r="G30" i="9"/>
  <c r="G29" i="9"/>
  <c r="C52" i="9"/>
  <c r="E42" i="9"/>
  <c r="E38" i="9"/>
  <c r="I37" i="9"/>
  <c r="I36" i="9"/>
  <c r="E21" i="9"/>
  <c r="E8" i="9"/>
  <c r="D40" i="8"/>
  <c r="D39" i="8"/>
  <c r="E39" i="8" s="1"/>
  <c r="D37" i="8"/>
  <c r="E37" i="8" s="1"/>
  <c r="D36" i="8"/>
  <c r="C42" i="8"/>
  <c r="E41" i="8"/>
  <c r="E40" i="8"/>
  <c r="E38" i="8"/>
  <c r="E32" i="8"/>
  <c r="E28" i="8"/>
  <c r="E33" i="8" s="1"/>
  <c r="I27" i="8"/>
  <c r="I26" i="8"/>
  <c r="E21" i="8"/>
  <c r="E8" i="8"/>
  <c r="E43" i="9" l="1"/>
  <c r="D52" i="9"/>
  <c r="E52" i="9"/>
  <c r="D42" i="8"/>
  <c r="E36" i="8"/>
  <c r="E42" i="8" s="1"/>
  <c r="D40" i="7"/>
  <c r="E40" i="7" s="1"/>
  <c r="D39" i="7"/>
  <c r="E39" i="7" s="1"/>
  <c r="D37" i="7"/>
  <c r="E37" i="7" s="1"/>
  <c r="D36" i="7"/>
  <c r="C42" i="7"/>
  <c r="E41" i="7"/>
  <c r="E38" i="7"/>
  <c r="E32" i="7"/>
  <c r="E28" i="7"/>
  <c r="I27" i="7"/>
  <c r="I26" i="7"/>
  <c r="E21" i="7"/>
  <c r="E8" i="7"/>
  <c r="E33" i="7" l="1"/>
  <c r="D42" i="7"/>
  <c r="E36" i="7"/>
  <c r="E42" i="7" s="1"/>
  <c r="F13" i="6"/>
  <c r="F14" i="6" s="1"/>
  <c r="J12" i="6"/>
  <c r="J11" i="6"/>
  <c r="D57" i="5" l="1"/>
  <c r="C57" i="5"/>
  <c r="E56" i="5"/>
  <c r="E55" i="5"/>
  <c r="E54" i="5"/>
  <c r="E53" i="5"/>
  <c r="E52" i="5"/>
  <c r="E51" i="5"/>
  <c r="I42" i="5"/>
  <c r="I41" i="5"/>
  <c r="E36" i="5"/>
  <c r="E21" i="5"/>
  <c r="E8" i="5"/>
  <c r="E47" i="5"/>
  <c r="E57" i="5" l="1"/>
  <c r="E43" i="5"/>
  <c r="E48" i="5" s="1"/>
  <c r="E43" i="4"/>
  <c r="E35" i="4" l="1"/>
  <c r="E38" i="4"/>
  <c r="E37" i="4"/>
  <c r="E36" i="4"/>
  <c r="E39" i="4" l="1"/>
  <c r="E28" i="4"/>
  <c r="E27" i="4"/>
  <c r="E26" i="4"/>
  <c r="E25" i="4"/>
  <c r="E24" i="4"/>
  <c r="E23" i="4"/>
  <c r="E22" i="4"/>
  <c r="E32" i="4"/>
  <c r="E30" i="4"/>
  <c r="E29" i="4"/>
  <c r="E21" i="4"/>
  <c r="E31" i="4" s="1"/>
  <c r="E19" i="4"/>
  <c r="E18" i="4"/>
  <c r="E17" i="4"/>
  <c r="E16" i="4"/>
  <c r="E15" i="4"/>
  <c r="E14" i="4"/>
  <c r="E13" i="4"/>
  <c r="E10" i="4"/>
  <c r="E20" i="4" s="1"/>
  <c r="E8" i="4"/>
  <c r="E7" i="4"/>
  <c r="E9" i="4" s="1"/>
  <c r="E33" i="4" l="1"/>
  <c r="E44" i="4" s="1"/>
  <c r="E8" i="3"/>
  <c r="E7" i="3"/>
  <c r="E14" i="3" l="1"/>
  <c r="E13" i="3"/>
  <c r="E12" i="3"/>
  <c r="E11" i="3"/>
  <c r="E10" i="3"/>
  <c r="E9" i="3"/>
  <c r="E15" i="3" l="1"/>
</calcChain>
</file>

<file path=xl/sharedStrings.xml><?xml version="1.0" encoding="utf-8"?>
<sst xmlns="http://schemas.openxmlformats.org/spreadsheetml/2006/main" count="1000" uniqueCount="157">
  <si>
    <t>Description</t>
  </si>
  <si>
    <t>Unit</t>
  </si>
  <si>
    <t>Amount</t>
  </si>
  <si>
    <t>Rate per Unit</t>
  </si>
  <si>
    <t>S.#</t>
  </si>
  <si>
    <t>Total</t>
  </si>
  <si>
    <t>Land Preparation / Seed Sapling Cost</t>
  </si>
  <si>
    <t>Note:</t>
  </si>
  <si>
    <t>*</t>
  </si>
  <si>
    <t>Estimated Cost for Expenses of Sakro Projects 09 Acres</t>
  </si>
  <si>
    <t>Tractor Expense 12 days</t>
  </si>
  <si>
    <t>Gypsum +Rs.25000 rent</t>
  </si>
  <si>
    <t>Vermi Composp</t>
  </si>
  <si>
    <t>Humic Acid</t>
  </si>
  <si>
    <t>Seeds</t>
  </si>
  <si>
    <t>Lobour</t>
  </si>
  <si>
    <t>SSP</t>
  </si>
  <si>
    <t>The Above mentioned amount required Before 01-09-2025</t>
  </si>
  <si>
    <t>Laser Leveling</t>
  </si>
  <si>
    <t>Feasibility Plan for 09 Acres</t>
  </si>
  <si>
    <t>Land Preparation Cost (Tractor Services)</t>
  </si>
  <si>
    <t xml:space="preserve">Digital Laser Leveling </t>
  </si>
  <si>
    <t>Vermi Compost</t>
  </si>
  <si>
    <t>Sea Weed 18 Bottles @ 6 Litre per bottle</t>
  </si>
  <si>
    <t>Zinc  Star (FMC 27- soil condition) Bag @ 3Kg</t>
  </si>
  <si>
    <t>Peat Moss</t>
  </si>
  <si>
    <t>Organic Matter + Sulpar</t>
  </si>
  <si>
    <t>Tervalis 3kg (soil condition)</t>
  </si>
  <si>
    <t>Sona Uria</t>
  </si>
  <si>
    <t>Calalist (FMC)</t>
  </si>
  <si>
    <t>P44 Ultra col 18-44-0</t>
  </si>
  <si>
    <t>Gypsum</t>
  </si>
  <si>
    <t>Headland Multi 500mg</t>
  </si>
  <si>
    <t>Bordox Super 1 Litre</t>
  </si>
  <si>
    <t>floki 200ML</t>
  </si>
  <si>
    <t>Zinc Pro 3ME 250ml</t>
  </si>
  <si>
    <t>Fenikal 10ME 500ml</t>
  </si>
  <si>
    <t>Endee 500wg</t>
  </si>
  <si>
    <t>Maxel 72 wp</t>
  </si>
  <si>
    <t>Perlite 400gm</t>
  </si>
  <si>
    <t>Aliette 80wp</t>
  </si>
  <si>
    <t>Antracol 70wp</t>
  </si>
  <si>
    <t>One Extra Weight Machine</t>
  </si>
  <si>
    <t>Sponge Gourd(1101)</t>
  </si>
  <si>
    <t>Parlek Cucumber</t>
  </si>
  <si>
    <t>Gherkin Cucumber F1</t>
  </si>
  <si>
    <t>Tomato King F1</t>
  </si>
  <si>
    <t xml:space="preserve">Total Exenses from Sep-25 to Dec-25 </t>
  </si>
  <si>
    <t>Vegetables Seed Amount</t>
  </si>
  <si>
    <t>Total Expenses</t>
  </si>
  <si>
    <t>Petal Engine Disel Approx (Sep to Dec-25)</t>
  </si>
  <si>
    <t xml:space="preserve">Packaging Material </t>
  </si>
  <si>
    <t xml:space="preserve">Rent </t>
  </si>
  <si>
    <t xml:space="preserve">Total </t>
  </si>
  <si>
    <t>Land Preparation Cost</t>
  </si>
  <si>
    <t>Organic Fertilizers</t>
  </si>
  <si>
    <t>Non Organic Fertilizers</t>
  </si>
  <si>
    <t>Disel</t>
  </si>
  <si>
    <t>Total Expenses Payable</t>
  </si>
  <si>
    <t>Petal Engine Disel</t>
  </si>
  <si>
    <t>Summary</t>
  </si>
  <si>
    <t>Activity</t>
  </si>
  <si>
    <t>Amount Demanded</t>
  </si>
  <si>
    <t>Balance</t>
  </si>
  <si>
    <t>Land Preparation</t>
  </si>
  <si>
    <t>Organic Fertilizer</t>
  </si>
  <si>
    <t>Non Organic Fertilizer</t>
  </si>
  <si>
    <t>Per Acre Vegetable Seed Cost</t>
  </si>
  <si>
    <t xml:space="preserve">Vegetable Seed </t>
  </si>
  <si>
    <t>Deisel, Packaging Material etc</t>
  </si>
  <si>
    <t xml:space="preserve">Amount 
Paid </t>
  </si>
  <si>
    <t>Payment Detail 09 Acres</t>
  </si>
  <si>
    <r>
      <t xml:space="preserve">Kindly Deposit above mentioned amount to A/c Title: </t>
    </r>
    <r>
      <rPr>
        <b/>
        <sz val="12"/>
        <color theme="1"/>
        <rFont val="Calibri"/>
        <family val="2"/>
        <charset val="1"/>
        <scheme val="minor"/>
      </rPr>
      <t>NAVEERA TUL HAREEM</t>
    </r>
    <r>
      <rPr>
        <sz val="12"/>
        <color theme="1"/>
        <rFont val="Calibri"/>
        <family val="2"/>
        <charset val="1"/>
        <scheme val="minor"/>
      </rPr>
      <t xml:space="preserve">, Allied Bank A/c # </t>
    </r>
    <r>
      <rPr>
        <b/>
        <sz val="12"/>
        <color theme="1"/>
        <rFont val="Calibri"/>
        <family val="2"/>
        <charset val="1"/>
        <scheme val="minor"/>
      </rPr>
      <t>PK37ABPA0010074222130015</t>
    </r>
  </si>
  <si>
    <t>___________</t>
  </si>
  <si>
    <t xml:space="preserve">                           __________________________</t>
  </si>
  <si>
    <t>_____________</t>
  </si>
  <si>
    <t>Prepared By</t>
  </si>
  <si>
    <t xml:space="preserve">                                Director Strategic Relations</t>
  </si>
  <si>
    <t>CEO</t>
  </si>
  <si>
    <t>Vegetable Seeds</t>
  </si>
  <si>
    <t>Land Preparation (Tractor Services)</t>
  </si>
  <si>
    <t>Grand Total</t>
  </si>
  <si>
    <t xml:space="preserve"> 03 drums 200 liter(13500 pkr ),1000 liter drum for wast decomposer or vermi fungal tea (25000 pkr), two electric spray machine (20000 pkr).</t>
  </si>
  <si>
    <t>addition</t>
  </si>
  <si>
    <t>Addition</t>
  </si>
  <si>
    <t xml:space="preserve"> 03 drums 200 liter(13500 pkr ),1000 liter drum for wast decomposer or vermi fungal tea (25000 pkr)
</t>
  </si>
  <si>
    <t xml:space="preserve">Two electric spray machine </t>
  </si>
  <si>
    <t xml:space="preserve">                                                                                                                                                                 </t>
  </si>
  <si>
    <t>Vegetable Seed</t>
  </si>
  <si>
    <t>Deisel</t>
  </si>
  <si>
    <t>Amoumt</t>
  </si>
  <si>
    <t xml:space="preserve">Quantity
 Present </t>
  </si>
  <si>
    <t xml:space="preserve">NOT
 Present </t>
  </si>
  <si>
    <t>Fertum</t>
  </si>
  <si>
    <t xml:space="preserve">Profile </t>
  </si>
  <si>
    <t xml:space="preserve">Zabyan </t>
  </si>
  <si>
    <t>Speed Full</t>
  </si>
  <si>
    <t>Amigo</t>
  </si>
  <si>
    <t xml:space="preserve">Domark </t>
  </si>
  <si>
    <t>Nanok</t>
  </si>
  <si>
    <t>Airone</t>
  </si>
  <si>
    <t xml:space="preserve">Mixtan </t>
  </si>
  <si>
    <t>Sea Mix</t>
  </si>
  <si>
    <t xml:space="preserve">Difenoconazole </t>
  </si>
  <si>
    <t>Finer</t>
  </si>
  <si>
    <t>Har bour</t>
  </si>
  <si>
    <t>Infinto</t>
  </si>
  <si>
    <t xml:space="preserve">Ambition </t>
  </si>
  <si>
    <t>Green Soul</t>
  </si>
  <si>
    <t>Dipterex</t>
  </si>
  <si>
    <t>Cocakpit</t>
  </si>
  <si>
    <t>Oxyrich</t>
  </si>
  <si>
    <t>Lagao</t>
  </si>
  <si>
    <t>manyu</t>
  </si>
  <si>
    <t>Madain</t>
  </si>
  <si>
    <t>Tazyab</t>
  </si>
  <si>
    <t>S. NO</t>
  </si>
  <si>
    <t xml:space="preserve">Trifioxy </t>
  </si>
  <si>
    <t>Payment Done for Store 9 Acre</t>
  </si>
  <si>
    <t>In Store at Shorki</t>
  </si>
  <si>
    <t>Profile  [ Fungicides ]</t>
  </si>
  <si>
    <t>Zabyan [ Fungicides ]</t>
  </si>
  <si>
    <t>Domark [ Fungicides ]</t>
  </si>
  <si>
    <t>Nanok [ Fungicides ]</t>
  </si>
  <si>
    <t>Airone [ Fungicides ]</t>
  </si>
  <si>
    <t>Mixtan [ Fungicides ]</t>
  </si>
  <si>
    <t>Difenoconazole  [ Fungicides ]</t>
  </si>
  <si>
    <t>Madain [ Fungicides ]</t>
  </si>
  <si>
    <t>Trifioxy [ Fungicides ]</t>
  </si>
  <si>
    <t>manyu [ Fungicides ]</t>
  </si>
  <si>
    <t>Oxyrich [ Fungicides ]</t>
  </si>
  <si>
    <t>Infinto [ Fungicides ]</t>
  </si>
  <si>
    <t>Finer [ Fungicides ]</t>
  </si>
  <si>
    <t>Organic Matter + Sulpar [ Fungicides ]</t>
  </si>
  <si>
    <t xml:space="preserve">  </t>
  </si>
  <si>
    <t>Green Soil</t>
  </si>
  <si>
    <t xml:space="preserve">                                                                   </t>
  </si>
  <si>
    <t xml:space="preserve">Fainer </t>
  </si>
  <si>
    <t>hara organic</t>
  </si>
  <si>
    <t xml:space="preserve">domrk </t>
  </si>
  <si>
    <t>bill 16</t>
  </si>
  <si>
    <t xml:space="preserve"> </t>
  </si>
  <si>
    <t xml:space="preserve">ITEMS PURCHASE FOR SHORKI </t>
  </si>
  <si>
    <t xml:space="preserve">Nanok [ Fungicides ] </t>
  </si>
  <si>
    <t>Grow liquid</t>
  </si>
  <si>
    <t>Blue power</t>
  </si>
  <si>
    <t>Neem oil</t>
  </si>
  <si>
    <t>Nill</t>
  </si>
  <si>
    <t>Mis. Seeds</t>
  </si>
  <si>
    <t>Zinc  Star (FMC 27- soil condition) 
Bag @ 3Kg</t>
  </si>
  <si>
    <t>Remarks</t>
  </si>
  <si>
    <t>Sr# 09 to 24 ,The Representative of shorki store is not 
aware of these items</t>
  </si>
  <si>
    <t>Not Countable due to bursting of the bags but approx 200 bags</t>
  </si>
  <si>
    <t>Additional Items</t>
  </si>
  <si>
    <t>Additional Approx 1.5 Kg is Scattered in multiple normal bags</t>
  </si>
  <si>
    <t>Items Found Partialy &amp; Paid Full Amount of Items</t>
  </si>
  <si>
    <t>ITEMS 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</si>
</sst>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303">
    <xf numFmtId="0" fontId="0" fillId="0" borderId="0" xfId="0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6" fontId="0" fillId="0" borderId="0" xfId="1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166" fontId="8" fillId="0" borderId="1" xfId="1" applyNumberFormat="1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66" fontId="9" fillId="0" borderId="3" xfId="1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6" fontId="9" fillId="0" borderId="5" xfId="1" applyNumberFormat="1" applyFont="1" applyBorder="1" applyAlignment="1">
      <alignment horizontal="center" vertical="center" wrapText="1"/>
    </xf>
    <xf numFmtId="166" fontId="9" fillId="0" borderId="6" xfId="1" applyNumberFormat="1" applyFont="1" applyBorder="1" applyAlignment="1">
      <alignment horizontal="center" vertical="center" wrapText="1"/>
    </xf>
    <xf numFmtId="166" fontId="0" fillId="0" borderId="6" xfId="1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3" fontId="0" fillId="0" borderId="0" xfId="0" applyNumberFormat="1"/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6" fontId="0" fillId="0" borderId="10" xfId="1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8" fillId="0" borderId="11" xfId="1" applyNumberFormat="1" applyFont="1" applyBorder="1" applyAlignment="1">
      <alignment vertical="center"/>
    </xf>
    <xf numFmtId="0" fontId="8" fillId="0" borderId="0" xfId="0" applyFont="1" applyAlignment="1">
      <alignment vertical="center" wrapText="1"/>
    </xf>
    <xf numFmtId="166" fontId="0" fillId="0" borderId="0" xfId="1" applyNumberFormat="1" applyFont="1" applyBorder="1" applyAlignment="1">
      <alignment horizontal="center" vertical="center"/>
    </xf>
    <xf numFmtId="166" fontId="0" fillId="0" borderId="0" xfId="1" applyNumberFormat="1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166" fontId="8" fillId="0" borderId="12" xfId="1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166" fontId="8" fillId="0" borderId="12" xfId="1" applyNumberFormat="1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166" fontId="9" fillId="0" borderId="9" xfId="1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66" fontId="9" fillId="0" borderId="13" xfId="1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166" fontId="0" fillId="0" borderId="13" xfId="1" applyNumberFormat="1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166" fontId="0" fillId="0" borderId="13" xfId="1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6" fontId="6" fillId="0" borderId="13" xfId="1" applyNumberFormat="1" applyFont="1" applyBorder="1" applyAlignment="1">
      <alignment vertical="center"/>
    </xf>
    <xf numFmtId="166" fontId="8" fillId="0" borderId="0" xfId="1" applyNumberFormat="1" applyFont="1" applyBorder="1" applyAlignment="1">
      <alignment vertical="center"/>
    </xf>
    <xf numFmtId="166" fontId="0" fillId="0" borderId="16" xfId="1" applyNumberFormat="1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166" fontId="9" fillId="0" borderId="0" xfId="1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0" fillId="0" borderId="20" xfId="1" applyNumberFormat="1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166" fontId="9" fillId="0" borderId="24" xfId="1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166" fontId="0" fillId="0" borderId="24" xfId="1" applyNumberFormat="1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166" fontId="0" fillId="0" borderId="26" xfId="1" applyNumberFormat="1" applyFont="1" applyBorder="1" applyAlignment="1">
      <alignment vertical="center"/>
    </xf>
    <xf numFmtId="166" fontId="8" fillId="0" borderId="22" xfId="1" applyNumberFormat="1" applyFont="1" applyBorder="1" applyAlignment="1">
      <alignment vertical="center"/>
    </xf>
    <xf numFmtId="166" fontId="8" fillId="0" borderId="13" xfId="1" applyNumberFormat="1" applyFont="1" applyBorder="1" applyAlignment="1">
      <alignment horizontal="center" vertical="center" wrapText="1"/>
    </xf>
    <xf numFmtId="166" fontId="8" fillId="0" borderId="0" xfId="1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6" fontId="8" fillId="0" borderId="12" xfId="0" applyNumberFormat="1" applyFont="1" applyBorder="1" applyAlignment="1">
      <alignment vertical="center"/>
    </xf>
    <xf numFmtId="166" fontId="0" fillId="0" borderId="0" xfId="0" applyNumberFormat="1"/>
    <xf numFmtId="0" fontId="8" fillId="0" borderId="13" xfId="0" applyFont="1" applyBorder="1" applyAlignment="1">
      <alignment horizontal="center" vertical="center" wrapText="1"/>
    </xf>
    <xf numFmtId="166" fontId="8" fillId="0" borderId="13" xfId="1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66" fontId="8" fillId="0" borderId="28" xfId="1" applyNumberFormat="1" applyFont="1" applyBorder="1" applyAlignment="1">
      <alignment vertical="center"/>
    </xf>
    <xf numFmtId="166" fontId="8" fillId="0" borderId="31" xfId="1" applyNumberFormat="1" applyFont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166" fontId="8" fillId="0" borderId="32" xfId="1" applyNumberFormat="1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166" fontId="8" fillId="0" borderId="33" xfId="1" applyNumberFormat="1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166" fontId="8" fillId="0" borderId="33" xfId="1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6" fontId="6" fillId="0" borderId="26" xfId="1" applyNumberFormat="1" applyFont="1" applyBorder="1" applyAlignment="1">
      <alignment vertical="center"/>
    </xf>
    <xf numFmtId="0" fontId="8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166" fontId="8" fillId="0" borderId="20" xfId="1" applyNumberFormat="1" applyFont="1" applyBorder="1" applyAlignment="1">
      <alignment vertical="center"/>
    </xf>
    <xf numFmtId="0" fontId="0" fillId="2" borderId="13" xfId="0" applyFill="1" applyBorder="1" applyAlignment="1">
      <alignment vertical="center" wrapText="1"/>
    </xf>
    <xf numFmtId="166" fontId="0" fillId="2" borderId="13" xfId="1" applyNumberFormat="1" applyFont="1" applyFill="1" applyBorder="1" applyAlignment="1">
      <alignment horizontal="center" vertical="center"/>
    </xf>
    <xf numFmtId="166" fontId="0" fillId="2" borderId="13" xfId="1" applyNumberFormat="1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166" fontId="8" fillId="0" borderId="13" xfId="1" applyNumberFormat="1" applyFont="1" applyBorder="1" applyAlignment="1">
      <alignment vertical="center"/>
    </xf>
    <xf numFmtId="166" fontId="0" fillId="0" borderId="35" xfId="1" applyNumberFormat="1" applyFon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4" xfId="0" applyBorder="1" applyAlignment="1">
      <alignment vertical="center" wrapText="1"/>
    </xf>
    <xf numFmtId="166" fontId="0" fillId="0" borderId="34" xfId="1" applyNumberFormat="1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166" fontId="8" fillId="0" borderId="34" xfId="1" applyNumberFormat="1" applyFont="1" applyBorder="1" applyAlignment="1">
      <alignment vertical="center"/>
    </xf>
    <xf numFmtId="166" fontId="0" fillId="0" borderId="10" xfId="1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166" fontId="8" fillId="0" borderId="10" xfId="1" applyNumberFormat="1" applyFont="1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166" fontId="8" fillId="0" borderId="35" xfId="1" applyNumberFormat="1" applyFont="1" applyBorder="1" applyAlignment="1">
      <alignment vertical="center"/>
    </xf>
    <xf numFmtId="0" fontId="0" fillId="0" borderId="12" xfId="0" applyBorder="1"/>
    <xf numFmtId="0" fontId="8" fillId="0" borderId="0" xfId="0" applyFont="1"/>
    <xf numFmtId="0" fontId="0" fillId="0" borderId="13" xfId="0" applyBorder="1"/>
    <xf numFmtId="166" fontId="8" fillId="0" borderId="12" xfId="0" applyNumberFormat="1" applyFont="1" applyBorder="1"/>
    <xf numFmtId="166" fontId="0" fillId="0" borderId="13" xfId="1" applyNumberFormat="1" applyFont="1" applyBorder="1"/>
    <xf numFmtId="0" fontId="11" fillId="0" borderId="0" xfId="0" applyFont="1" applyAlignment="1">
      <alignment vertical="center"/>
    </xf>
    <xf numFmtId="0" fontId="8" fillId="0" borderId="12" xfId="0" applyFont="1" applyBorder="1"/>
    <xf numFmtId="0" fontId="9" fillId="0" borderId="20" xfId="0" applyFont="1" applyBorder="1" applyAlignment="1">
      <alignment horizontal="center" vertical="center"/>
    </xf>
    <xf numFmtId="0" fontId="0" fillId="0" borderId="20" xfId="0" applyBorder="1"/>
    <xf numFmtId="0" fontId="9" fillId="0" borderId="37" xfId="0" applyFont="1" applyBorder="1" applyAlignment="1">
      <alignment horizontal="center" vertical="center"/>
    </xf>
    <xf numFmtId="166" fontId="0" fillId="0" borderId="37" xfId="1" applyNumberFormat="1" applyFont="1" applyBorder="1" applyAlignment="1">
      <alignment vertical="center"/>
    </xf>
    <xf numFmtId="166" fontId="8" fillId="0" borderId="38" xfId="1" applyNumberFormat="1" applyFont="1" applyBorder="1" applyAlignment="1">
      <alignment vertical="center"/>
    </xf>
    <xf numFmtId="166" fontId="8" fillId="0" borderId="6" xfId="1" applyNumberFormat="1" applyFont="1" applyBorder="1" applyAlignment="1">
      <alignment vertical="center"/>
    </xf>
    <xf numFmtId="166" fontId="8" fillId="0" borderId="39" xfId="1" applyNumberFormat="1" applyFont="1" applyBorder="1" applyAlignment="1">
      <alignment vertical="center"/>
    </xf>
    <xf numFmtId="0" fontId="9" fillId="0" borderId="41" xfId="0" applyFont="1" applyBorder="1" applyAlignment="1">
      <alignment horizontal="center" vertical="center"/>
    </xf>
    <xf numFmtId="0" fontId="0" fillId="0" borderId="41" xfId="0" applyBorder="1"/>
    <xf numFmtId="0" fontId="8" fillId="0" borderId="41" xfId="0" applyFont="1" applyBorder="1"/>
    <xf numFmtId="0" fontId="8" fillId="0" borderId="20" xfId="0" applyFont="1" applyBorder="1"/>
    <xf numFmtId="166" fontId="8" fillId="0" borderId="20" xfId="0" applyNumberFormat="1" applyFont="1" applyBorder="1"/>
    <xf numFmtId="0" fontId="9" fillId="0" borderId="40" xfId="0" applyFont="1" applyBorder="1" applyAlignment="1">
      <alignment horizontal="center" vertical="center" wrapText="1"/>
    </xf>
    <xf numFmtId="0" fontId="8" fillId="0" borderId="13" xfId="0" applyFont="1" applyBorder="1"/>
    <xf numFmtId="166" fontId="8" fillId="0" borderId="13" xfId="0" applyNumberFormat="1" applyFont="1" applyBorder="1"/>
    <xf numFmtId="166" fontId="0" fillId="0" borderId="10" xfId="1" applyNumberFormat="1" applyFont="1" applyFill="1" applyBorder="1" applyAlignment="1">
      <alignment horizontal="center" vertical="center"/>
    </xf>
    <xf numFmtId="0" fontId="0" fillId="0" borderId="37" xfId="0" applyBorder="1"/>
    <xf numFmtId="166" fontId="8" fillId="0" borderId="0" xfId="0" applyNumberFormat="1" applyFont="1"/>
    <xf numFmtId="0" fontId="0" fillId="0" borderId="36" xfId="0" applyBorder="1"/>
    <xf numFmtId="0" fontId="0" fillId="0" borderId="35" xfId="0" applyBorder="1"/>
    <xf numFmtId="0" fontId="0" fillId="0" borderId="0" xfId="0" applyAlignment="1">
      <alignment horizontal="center"/>
    </xf>
    <xf numFmtId="166" fontId="0" fillId="0" borderId="35" xfId="0" applyNumberFormat="1" applyBorder="1"/>
    <xf numFmtId="0" fontId="0" fillId="0" borderId="34" xfId="0" applyBorder="1"/>
    <xf numFmtId="166" fontId="8" fillId="0" borderId="34" xfId="0" applyNumberFormat="1" applyFont="1" applyBorder="1"/>
    <xf numFmtId="0" fontId="8" fillId="0" borderId="35" xfId="0" applyFont="1" applyBorder="1"/>
    <xf numFmtId="0" fontId="8" fillId="0" borderId="34" xfId="0" applyFont="1" applyBorder="1"/>
    <xf numFmtId="0" fontId="0" fillId="0" borderId="42" xfId="0" applyBorder="1"/>
    <xf numFmtId="164" fontId="0" fillId="0" borderId="13" xfId="2" applyFont="1" applyBorder="1"/>
    <xf numFmtId="164" fontId="0" fillId="0" borderId="34" xfId="2" applyFont="1" applyBorder="1"/>
    <xf numFmtId="164" fontId="8" fillId="0" borderId="33" xfId="2" applyFont="1" applyBorder="1"/>
    <xf numFmtId="164" fontId="0" fillId="0" borderId="0" xfId="2" applyFont="1"/>
    <xf numFmtId="164" fontId="8" fillId="0" borderId="13" xfId="2" applyFont="1" applyBorder="1"/>
    <xf numFmtId="164" fontId="8" fillId="0" borderId="34" xfId="2" applyFont="1" applyBorder="1"/>
    <xf numFmtId="164" fontId="8" fillId="0" borderId="35" xfId="2" applyFont="1" applyBorder="1"/>
    <xf numFmtId="0" fontId="4" fillId="0" borderId="13" xfId="0" applyFont="1" applyBorder="1"/>
    <xf numFmtId="166" fontId="4" fillId="0" borderId="13" xfId="0" applyNumberFormat="1" applyFont="1" applyBorder="1"/>
    <xf numFmtId="164" fontId="4" fillId="0" borderId="13" xfId="2" applyFont="1" applyBorder="1"/>
    <xf numFmtId="0" fontId="0" fillId="0" borderId="36" xfId="0" applyBorder="1" applyAlignment="1">
      <alignment vertical="center" wrapText="1"/>
    </xf>
    <xf numFmtId="166" fontId="0" fillId="0" borderId="36" xfId="1" applyNumberFormat="1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166" fontId="8" fillId="0" borderId="43" xfId="1" applyNumberFormat="1" applyFont="1" applyBorder="1" applyAlignment="1">
      <alignment vertical="center"/>
    </xf>
    <xf numFmtId="0" fontId="8" fillId="0" borderId="13" xfId="0" applyFont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166" fontId="8" fillId="0" borderId="35" xfId="0" applyNumberFormat="1" applyFont="1" applyBorder="1"/>
    <xf numFmtId="0" fontId="0" fillId="0" borderId="38" xfId="0" applyBorder="1"/>
    <xf numFmtId="0" fontId="0" fillId="0" borderId="12" xfId="0" applyBorder="1" applyAlignment="1">
      <alignment horizontal="center" vertical="center"/>
    </xf>
    <xf numFmtId="166" fontId="0" fillId="0" borderId="6" xfId="0" applyNumberFormat="1" applyBorder="1"/>
    <xf numFmtId="0" fontId="8" fillId="0" borderId="0" xfId="0" applyFont="1" applyAlignment="1">
      <alignment horizontal="center" vertical="center" wrapText="1"/>
    </xf>
    <xf numFmtId="166" fontId="8" fillId="0" borderId="38" xfId="0" applyNumberFormat="1" applyFont="1" applyBorder="1"/>
    <xf numFmtId="166" fontId="0" fillId="0" borderId="43" xfId="1" applyNumberFormat="1" applyFon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vertical="center" wrapText="1"/>
    </xf>
    <xf numFmtId="166" fontId="0" fillId="0" borderId="11" xfId="1" applyNumberFormat="1" applyFont="1" applyBorder="1" applyAlignment="1">
      <alignment horizontal="center" vertical="center"/>
    </xf>
    <xf numFmtId="0" fontId="0" fillId="0" borderId="41" xfId="0" applyBorder="1" applyAlignment="1">
      <alignment vertical="center"/>
    </xf>
    <xf numFmtId="166" fontId="0" fillId="0" borderId="34" xfId="0" applyNumberFormat="1" applyBorder="1"/>
    <xf numFmtId="0" fontId="8" fillId="0" borderId="42" xfId="0" applyFont="1" applyBorder="1"/>
    <xf numFmtId="166" fontId="0" fillId="0" borderId="36" xfId="1" applyNumberFormat="1" applyFont="1" applyBorder="1" applyAlignment="1">
      <alignment vertical="center"/>
    </xf>
    <xf numFmtId="164" fontId="0" fillId="2" borderId="13" xfId="2" applyFont="1" applyFill="1" applyBorder="1"/>
    <xf numFmtId="0" fontId="0" fillId="2" borderId="0" xfId="0" applyFill="1"/>
    <xf numFmtId="0" fontId="8" fillId="2" borderId="0" xfId="0" applyFont="1" applyFill="1"/>
    <xf numFmtId="0" fontId="3" fillId="0" borderId="13" xfId="0" applyFont="1" applyBorder="1"/>
    <xf numFmtId="0" fontId="0" fillId="0" borderId="32" xfId="0" applyBorder="1" applyAlignment="1">
      <alignment horizontal="center"/>
    </xf>
    <xf numFmtId="166" fontId="0" fillId="0" borderId="0" xfId="1" applyNumberFormat="1" applyFont="1"/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3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13" xfId="0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left" indent="6"/>
    </xf>
    <xf numFmtId="0" fontId="8" fillId="0" borderId="38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3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5" fillId="0" borderId="0" xfId="0" applyFont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9" fillId="0" borderId="4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166" fontId="9" fillId="0" borderId="10" xfId="1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166" fontId="9" fillId="0" borderId="35" xfId="1" applyNumberFormat="1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166" fontId="4" fillId="0" borderId="0" xfId="0" applyNumberFormat="1" applyFont="1" applyBorder="1" applyAlignment="1">
      <alignment vertical="center"/>
    </xf>
    <xf numFmtId="0" fontId="9" fillId="0" borderId="12" xfId="0" applyFont="1" applyBorder="1" applyAlignment="1">
      <alignment vertical="center" wrapText="1"/>
    </xf>
    <xf numFmtId="166" fontId="9" fillId="0" borderId="12" xfId="1" applyNumberFormat="1" applyFont="1" applyBorder="1" applyAlignment="1">
      <alignment vertical="center"/>
    </xf>
    <xf numFmtId="166" fontId="9" fillId="0" borderId="12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vertical="center" wrapText="1"/>
    </xf>
    <xf numFmtId="166" fontId="16" fillId="0" borderId="13" xfId="1" applyNumberFormat="1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166" fontId="16" fillId="0" borderId="37" xfId="1" applyNumberFormat="1" applyFont="1" applyBorder="1" applyAlignment="1">
      <alignment vertical="center"/>
    </xf>
    <xf numFmtId="166" fontId="16" fillId="0" borderId="13" xfId="0" applyNumberFormat="1" applyFont="1" applyBorder="1" applyAlignment="1">
      <alignment vertical="center"/>
    </xf>
    <xf numFmtId="166" fontId="16" fillId="0" borderId="10" xfId="1" applyNumberFormat="1" applyFont="1" applyFill="1" applyBorder="1" applyAlignment="1">
      <alignment horizontal="center" vertical="center"/>
    </xf>
    <xf numFmtId="164" fontId="16" fillId="0" borderId="13" xfId="2" applyFont="1" applyBorder="1"/>
    <xf numFmtId="0" fontId="16" fillId="0" borderId="13" xfId="0" applyFont="1" applyBorder="1" applyAlignment="1">
      <alignment horizontal="center"/>
    </xf>
    <xf numFmtId="0" fontId="16" fillId="0" borderId="13" xfId="0" applyFont="1" applyBorder="1"/>
    <xf numFmtId="0" fontId="16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vertical="center" wrapText="1"/>
    </xf>
    <xf numFmtId="166" fontId="16" fillId="0" borderId="36" xfId="1" applyNumberFormat="1" applyFont="1" applyBorder="1" applyAlignment="1">
      <alignment horizontal="center" vertical="center"/>
    </xf>
    <xf numFmtId="0" fontId="16" fillId="0" borderId="36" xfId="0" applyFont="1" applyBorder="1" applyAlignment="1">
      <alignment vertical="center"/>
    </xf>
    <xf numFmtId="0" fontId="16" fillId="0" borderId="36" xfId="0" applyFont="1" applyBorder="1" applyAlignment="1">
      <alignment horizontal="center"/>
    </xf>
    <xf numFmtId="166" fontId="16" fillId="0" borderId="36" xfId="0" applyNumberFormat="1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166" fontId="16" fillId="0" borderId="12" xfId="1" applyNumberFormat="1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center"/>
    </xf>
    <xf numFmtId="166" fontId="8" fillId="0" borderId="13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vertical="center" wrapText="1"/>
    </xf>
    <xf numFmtId="166" fontId="16" fillId="0" borderId="35" xfId="1" applyNumberFormat="1" applyFont="1" applyBorder="1" applyAlignment="1">
      <alignment horizontal="center" vertical="center"/>
    </xf>
    <xf numFmtId="0" fontId="16" fillId="0" borderId="35" xfId="0" applyFont="1" applyBorder="1" applyAlignment="1">
      <alignment vertical="center"/>
    </xf>
    <xf numFmtId="166" fontId="16" fillId="0" borderId="39" xfId="1" applyNumberFormat="1" applyFont="1" applyBorder="1" applyAlignment="1">
      <alignment vertical="center"/>
    </xf>
    <xf numFmtId="164" fontId="16" fillId="0" borderId="35" xfId="2" applyFont="1" applyBorder="1" applyAlignment="1">
      <alignment vertical="center"/>
    </xf>
    <xf numFmtId="166" fontId="16" fillId="0" borderId="35" xfId="0" applyNumberFormat="1" applyFont="1" applyBorder="1" applyAlignment="1">
      <alignment vertical="center"/>
    </xf>
    <xf numFmtId="166" fontId="1" fillId="0" borderId="35" xfId="0" applyNumberFormat="1" applyFont="1" applyBorder="1" applyAlignment="1">
      <alignment horizontal="center" vertical="center" wrapText="1"/>
    </xf>
    <xf numFmtId="166" fontId="2" fillId="0" borderId="35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66" fontId="9" fillId="0" borderId="48" xfId="1" applyNumberFormat="1" applyFont="1" applyBorder="1" applyAlignment="1">
      <alignment horizontal="center" vertical="center" wrapText="1"/>
    </xf>
    <xf numFmtId="166" fontId="16" fillId="0" borderId="43" xfId="1" applyNumberFormat="1" applyFont="1" applyBorder="1" applyAlignment="1">
      <alignment vertical="center"/>
    </xf>
    <xf numFmtId="0" fontId="9" fillId="0" borderId="51" xfId="0" applyFont="1" applyBorder="1" applyAlignment="1">
      <alignment horizontal="center" vertical="center"/>
    </xf>
    <xf numFmtId="0" fontId="16" fillId="0" borderId="52" xfId="0" applyFont="1" applyBorder="1"/>
    <xf numFmtId="0" fontId="16" fillId="0" borderId="53" xfId="0" applyFont="1" applyBorder="1"/>
    <xf numFmtId="0" fontId="17" fillId="0" borderId="54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5" fillId="0" borderId="0" xfId="0" applyFont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8"/>
  <sheetViews>
    <sheetView workbookViewId="0">
      <selection activeCell="H18" sqref="H18"/>
    </sheetView>
  </sheetViews>
  <sheetFormatPr defaultRowHeight="14.4" x14ac:dyDescent="0.3"/>
  <cols>
    <col min="1" max="1" width="8.6640625" style="2"/>
    <col min="2" max="2" width="41.6640625" style="4" bestFit="1" customWidth="1"/>
    <col min="3" max="3" width="11.44140625" style="3" customWidth="1"/>
    <col min="4" max="4" width="4.6640625" style="5" bestFit="1" customWidth="1"/>
    <col min="5" max="5" width="12.6640625" style="5" bestFit="1" customWidth="1"/>
  </cols>
  <sheetData>
    <row r="2" spans="1:12" s="1" customFormat="1" ht="31.95" customHeight="1" x14ac:dyDescent="0.3">
      <c r="A2" s="195" t="s">
        <v>9</v>
      </c>
      <c r="B2" s="195"/>
      <c r="C2" s="195"/>
      <c r="D2" s="195"/>
      <c r="E2" s="195"/>
    </row>
    <row r="3" spans="1:12" ht="15" thickBot="1" x14ac:dyDescent="0.35"/>
    <row r="4" spans="1:12" s="7" customFormat="1" ht="28.5" customHeight="1" thickBot="1" x14ac:dyDescent="0.35">
      <c r="A4" s="9" t="s">
        <v>4</v>
      </c>
      <c r="B4" s="10" t="s">
        <v>0</v>
      </c>
      <c r="C4" s="11" t="s">
        <v>3</v>
      </c>
      <c r="D4" s="23" t="s">
        <v>1</v>
      </c>
      <c r="E4" s="12" t="s">
        <v>2</v>
      </c>
    </row>
    <row r="5" spans="1:12" s="7" customFormat="1" ht="6.45" customHeight="1" x14ac:dyDescent="0.3">
      <c r="A5" s="16"/>
      <c r="B5" s="17"/>
      <c r="C5" s="13"/>
      <c r="D5" s="18"/>
      <c r="E5" s="24"/>
    </row>
    <row r="6" spans="1:12" s="7" customFormat="1" ht="15.6" x14ac:dyDescent="0.3">
      <c r="A6" s="19" t="s">
        <v>6</v>
      </c>
      <c r="B6" s="20"/>
      <c r="C6" s="14"/>
      <c r="E6" s="25"/>
    </row>
    <row r="7" spans="1:12" x14ac:dyDescent="0.3">
      <c r="A7" s="21">
        <v>1</v>
      </c>
      <c r="B7" s="4" t="s">
        <v>10</v>
      </c>
      <c r="C7" s="15">
        <v>28000</v>
      </c>
      <c r="D7" s="5">
        <v>12</v>
      </c>
      <c r="E7" s="26">
        <f>C7*D7</f>
        <v>336000</v>
      </c>
    </row>
    <row r="8" spans="1:12" x14ac:dyDescent="0.3">
      <c r="A8" s="21">
        <v>2</v>
      </c>
      <c r="B8" s="4" t="s">
        <v>11</v>
      </c>
      <c r="C8" s="15">
        <v>190</v>
      </c>
      <c r="D8" s="5">
        <v>400</v>
      </c>
      <c r="E8" s="26">
        <f>+C8*D8+25000</f>
        <v>101000</v>
      </c>
    </row>
    <row r="9" spans="1:12" x14ac:dyDescent="0.3">
      <c r="A9" s="21">
        <v>3</v>
      </c>
      <c r="B9" s="4" t="s">
        <v>12</v>
      </c>
      <c r="C9" s="15">
        <v>1300</v>
      </c>
      <c r="D9" s="5">
        <v>350</v>
      </c>
      <c r="E9" s="26">
        <f t="shared" ref="E9:E14" si="0">+C9*D9</f>
        <v>455000</v>
      </c>
    </row>
    <row r="10" spans="1:12" x14ac:dyDescent="0.3">
      <c r="A10" s="21">
        <v>4</v>
      </c>
      <c r="B10" s="4" t="s">
        <v>13</v>
      </c>
      <c r="C10" s="15">
        <v>50000</v>
      </c>
      <c r="D10" s="5">
        <v>1</v>
      </c>
      <c r="E10" s="26">
        <f t="shared" si="0"/>
        <v>50000</v>
      </c>
    </row>
    <row r="11" spans="1:12" x14ac:dyDescent="0.3">
      <c r="A11" s="21">
        <v>5</v>
      </c>
      <c r="B11" s="4" t="s">
        <v>14</v>
      </c>
      <c r="C11" s="15">
        <v>50000</v>
      </c>
      <c r="D11" s="5">
        <v>1</v>
      </c>
      <c r="E11" s="26">
        <f t="shared" si="0"/>
        <v>50000</v>
      </c>
    </row>
    <row r="12" spans="1:12" x14ac:dyDescent="0.3">
      <c r="A12" s="21">
        <v>6</v>
      </c>
      <c r="B12" s="4" t="s">
        <v>15</v>
      </c>
      <c r="C12" s="15">
        <v>30000</v>
      </c>
      <c r="D12" s="5">
        <v>1</v>
      </c>
      <c r="E12" s="26">
        <f t="shared" si="0"/>
        <v>30000</v>
      </c>
    </row>
    <row r="13" spans="1:12" x14ac:dyDescent="0.3">
      <c r="A13" s="21">
        <v>7</v>
      </c>
      <c r="B13" s="4" t="s">
        <v>18</v>
      </c>
      <c r="C13" s="15">
        <v>150000</v>
      </c>
      <c r="D13" s="5">
        <v>1</v>
      </c>
      <c r="E13" s="26">
        <f t="shared" si="0"/>
        <v>150000</v>
      </c>
    </row>
    <row r="14" spans="1:12" x14ac:dyDescent="0.3">
      <c r="A14" s="21">
        <v>8</v>
      </c>
      <c r="B14" s="4" t="s">
        <v>16</v>
      </c>
      <c r="C14" s="15">
        <v>60000</v>
      </c>
      <c r="D14" s="5">
        <v>1</v>
      </c>
      <c r="E14" s="26">
        <f t="shared" si="0"/>
        <v>60000</v>
      </c>
    </row>
    <row r="15" spans="1:12" ht="15" thickBot="1" x14ac:dyDescent="0.35">
      <c r="A15" s="196" t="s">
        <v>5</v>
      </c>
      <c r="B15" s="196"/>
      <c r="C15" s="196"/>
      <c r="D15" s="196"/>
      <c r="E15" s="8">
        <f>SUM(E7:E14)</f>
        <v>1232000</v>
      </c>
    </row>
    <row r="16" spans="1:12" x14ac:dyDescent="0.3">
      <c r="E16" s="6"/>
      <c r="J16" s="22"/>
      <c r="L16" s="22"/>
    </row>
    <row r="17" spans="1:5" x14ac:dyDescent="0.3">
      <c r="A17" s="27" t="s">
        <v>7</v>
      </c>
    </row>
    <row r="18" spans="1:5" ht="43.5" customHeight="1" x14ac:dyDescent="0.3">
      <c r="A18" s="28" t="s">
        <v>8</v>
      </c>
      <c r="B18" s="197" t="s">
        <v>17</v>
      </c>
      <c r="C18" s="197"/>
      <c r="D18" s="197"/>
      <c r="E18" s="197"/>
    </row>
  </sheetData>
  <mergeCells count="3">
    <mergeCell ref="A2:E2"/>
    <mergeCell ref="A15:D15"/>
    <mergeCell ref="B18:E18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7"/>
  <sheetViews>
    <sheetView topLeftCell="A19" workbookViewId="0">
      <selection activeCell="B37" sqref="B37"/>
    </sheetView>
  </sheetViews>
  <sheetFormatPr defaultRowHeight="14.4" x14ac:dyDescent="0.3"/>
  <cols>
    <col min="1" max="1" width="8.88671875" style="2"/>
    <col min="2" max="2" width="41.6640625" style="4" bestFit="1" customWidth="1"/>
    <col min="3" max="3" width="11.44140625" style="3" customWidth="1"/>
    <col min="4" max="4" width="6" style="5" bestFit="1" customWidth="1"/>
    <col min="5" max="5" width="12.6640625" style="5" bestFit="1" customWidth="1"/>
  </cols>
  <sheetData>
    <row r="2" spans="1:5" s="1" customFormat="1" ht="31.95" customHeight="1" x14ac:dyDescent="0.3">
      <c r="A2" s="195" t="s">
        <v>19</v>
      </c>
      <c r="B2" s="195"/>
      <c r="C2" s="195"/>
      <c r="D2" s="195"/>
      <c r="E2" s="195"/>
    </row>
    <row r="3" spans="1:5" ht="15" thickBot="1" x14ac:dyDescent="0.35"/>
    <row r="4" spans="1:5" s="7" customFormat="1" ht="28.5" customHeight="1" x14ac:dyDescent="0.3">
      <c r="A4" s="37" t="s">
        <v>4</v>
      </c>
      <c r="B4" s="38" t="s">
        <v>0</v>
      </c>
      <c r="C4" s="39" t="s">
        <v>3</v>
      </c>
      <c r="D4" s="16" t="s">
        <v>1</v>
      </c>
      <c r="E4" s="40" t="s">
        <v>2</v>
      </c>
    </row>
    <row r="5" spans="1:5" s="7" customFormat="1" ht="6.45" customHeight="1" x14ac:dyDescent="0.3">
      <c r="A5" s="41"/>
      <c r="B5" s="42"/>
      <c r="C5" s="43"/>
      <c r="D5" s="41"/>
      <c r="E5" s="41"/>
    </row>
    <row r="6" spans="1:5" s="7" customFormat="1" ht="15.6" x14ac:dyDescent="0.3">
      <c r="A6" s="44"/>
      <c r="B6" s="42"/>
      <c r="C6" s="43"/>
      <c r="D6" s="41"/>
      <c r="E6" s="41"/>
    </row>
    <row r="7" spans="1:5" x14ac:dyDescent="0.3">
      <c r="A7" s="45">
        <v>1</v>
      </c>
      <c r="B7" s="46" t="s">
        <v>20</v>
      </c>
      <c r="C7" s="47">
        <v>3000</v>
      </c>
      <c r="D7" s="48">
        <v>250</v>
      </c>
      <c r="E7" s="49">
        <f>C7*D7</f>
        <v>750000</v>
      </c>
    </row>
    <row r="8" spans="1:5" x14ac:dyDescent="0.3">
      <c r="A8" s="45">
        <v>2</v>
      </c>
      <c r="B8" s="46" t="s">
        <v>21</v>
      </c>
      <c r="C8" s="47">
        <v>3500</v>
      </c>
      <c r="D8" s="48">
        <v>25</v>
      </c>
      <c r="E8" s="49">
        <f t="shared" ref="E8:E13" si="0">C8*D8</f>
        <v>87500</v>
      </c>
    </row>
    <row r="9" spans="1:5" x14ac:dyDescent="0.3">
      <c r="A9" s="45"/>
      <c r="B9" s="46"/>
      <c r="C9" s="47"/>
      <c r="D9" s="48"/>
      <c r="E9" s="49">
        <f>SUM(E7:E8)</f>
        <v>837500</v>
      </c>
    </row>
    <row r="10" spans="1:5" x14ac:dyDescent="0.3">
      <c r="A10" s="45">
        <v>3</v>
      </c>
      <c r="B10" s="46" t="s">
        <v>22</v>
      </c>
      <c r="C10" s="47">
        <v>250</v>
      </c>
      <c r="D10" s="48">
        <v>1500</v>
      </c>
      <c r="E10" s="103">
        <f t="shared" si="0"/>
        <v>375000</v>
      </c>
    </row>
    <row r="11" spans="1:5" x14ac:dyDescent="0.3">
      <c r="A11" s="45">
        <v>4</v>
      </c>
      <c r="B11" s="46" t="s">
        <v>23</v>
      </c>
      <c r="C11" s="47">
        <v>10000</v>
      </c>
      <c r="D11" s="48"/>
      <c r="E11" s="49">
        <v>180000</v>
      </c>
    </row>
    <row r="12" spans="1:5" x14ac:dyDescent="0.3">
      <c r="A12" s="45">
        <v>5</v>
      </c>
      <c r="B12" s="46" t="s">
        <v>24</v>
      </c>
      <c r="C12" s="47">
        <v>2389</v>
      </c>
      <c r="D12" s="48"/>
      <c r="E12" s="49">
        <v>64395</v>
      </c>
    </row>
    <row r="13" spans="1:5" x14ac:dyDescent="0.3">
      <c r="A13" s="45">
        <v>6</v>
      </c>
      <c r="B13" s="46" t="s">
        <v>25</v>
      </c>
      <c r="C13" s="47">
        <v>9000</v>
      </c>
      <c r="D13" s="48">
        <v>4</v>
      </c>
      <c r="E13" s="49">
        <f t="shared" si="0"/>
        <v>36000</v>
      </c>
    </row>
    <row r="14" spans="1:5" x14ac:dyDescent="0.3">
      <c r="A14" s="45">
        <v>7</v>
      </c>
      <c r="B14" s="46" t="s">
        <v>26</v>
      </c>
      <c r="C14" s="47">
        <v>4150</v>
      </c>
      <c r="D14" s="48">
        <v>25</v>
      </c>
      <c r="E14" s="49">
        <f>C14*D14</f>
        <v>103750</v>
      </c>
    </row>
    <row r="15" spans="1:5" x14ac:dyDescent="0.3">
      <c r="A15" s="45">
        <v>8</v>
      </c>
      <c r="B15" s="46" t="s">
        <v>27</v>
      </c>
      <c r="C15" s="47">
        <v>15</v>
      </c>
      <c r="D15" s="48">
        <v>2880</v>
      </c>
      <c r="E15" s="49">
        <f t="shared" ref="E15:E32" si="1">C15*D15</f>
        <v>43200</v>
      </c>
    </row>
    <row r="16" spans="1:5" x14ac:dyDescent="0.3">
      <c r="A16" s="45">
        <v>9</v>
      </c>
      <c r="B16" s="46" t="s">
        <v>28</v>
      </c>
      <c r="C16" s="47">
        <v>9</v>
      </c>
      <c r="D16" s="48">
        <v>4400</v>
      </c>
      <c r="E16" s="49">
        <f t="shared" si="1"/>
        <v>39600</v>
      </c>
    </row>
    <row r="17" spans="1:5" x14ac:dyDescent="0.3">
      <c r="A17" s="45">
        <v>10</v>
      </c>
      <c r="B17" s="46" t="s">
        <v>29</v>
      </c>
      <c r="C17" s="47">
        <v>9</v>
      </c>
      <c r="D17" s="48">
        <v>5650</v>
      </c>
      <c r="E17" s="49">
        <f t="shared" si="1"/>
        <v>50850</v>
      </c>
    </row>
    <row r="18" spans="1:5" x14ac:dyDescent="0.3">
      <c r="A18" s="45">
        <v>11</v>
      </c>
      <c r="B18" s="46" t="s">
        <v>30</v>
      </c>
      <c r="C18" s="47">
        <v>8</v>
      </c>
      <c r="D18" s="48">
        <v>16685</v>
      </c>
      <c r="E18" s="49">
        <f t="shared" si="1"/>
        <v>133480</v>
      </c>
    </row>
    <row r="19" spans="1:5" x14ac:dyDescent="0.3">
      <c r="A19" s="45">
        <v>12</v>
      </c>
      <c r="B19" s="46" t="s">
        <v>31</v>
      </c>
      <c r="C19" s="47">
        <v>300</v>
      </c>
      <c r="D19" s="48">
        <v>350</v>
      </c>
      <c r="E19" s="49">
        <f t="shared" si="1"/>
        <v>105000</v>
      </c>
    </row>
    <row r="20" spans="1:5" x14ac:dyDescent="0.3">
      <c r="A20" s="45"/>
      <c r="B20" s="46"/>
      <c r="C20" s="47"/>
      <c r="D20" s="48"/>
      <c r="E20" s="103">
        <f>SUM(E10:E19)</f>
        <v>1131275</v>
      </c>
    </row>
    <row r="21" spans="1:5" x14ac:dyDescent="0.3">
      <c r="A21" s="45">
        <v>13</v>
      </c>
      <c r="B21" s="46" t="s">
        <v>32</v>
      </c>
      <c r="C21" s="47">
        <v>9</v>
      </c>
      <c r="D21" s="48">
        <v>2525</v>
      </c>
      <c r="E21" s="49">
        <f t="shared" si="1"/>
        <v>22725</v>
      </c>
    </row>
    <row r="22" spans="1:5" x14ac:dyDescent="0.3">
      <c r="A22" s="45">
        <v>14</v>
      </c>
      <c r="B22" s="46" t="s">
        <v>33</v>
      </c>
      <c r="C22" s="47">
        <v>7</v>
      </c>
      <c r="D22" s="48">
        <v>2865</v>
      </c>
      <c r="E22" s="49">
        <f t="shared" si="1"/>
        <v>20055</v>
      </c>
    </row>
    <row r="23" spans="1:5" x14ac:dyDescent="0.3">
      <c r="A23" s="45">
        <v>15</v>
      </c>
      <c r="B23" s="46" t="s">
        <v>34</v>
      </c>
      <c r="C23" s="47">
        <v>7</v>
      </c>
      <c r="D23" s="48">
        <v>1545</v>
      </c>
      <c r="E23" s="49">
        <f t="shared" si="1"/>
        <v>10815</v>
      </c>
    </row>
    <row r="24" spans="1:5" x14ac:dyDescent="0.3">
      <c r="A24" s="45">
        <v>16</v>
      </c>
      <c r="B24" s="46" t="s">
        <v>35</v>
      </c>
      <c r="C24" s="47">
        <v>7</v>
      </c>
      <c r="D24" s="48">
        <v>1525</v>
      </c>
      <c r="E24" s="49">
        <f t="shared" si="1"/>
        <v>10675</v>
      </c>
    </row>
    <row r="25" spans="1:5" x14ac:dyDescent="0.3">
      <c r="A25" s="45">
        <v>17</v>
      </c>
      <c r="B25" s="46" t="s">
        <v>36</v>
      </c>
      <c r="C25" s="47">
        <v>7</v>
      </c>
      <c r="D25" s="48">
        <v>1680</v>
      </c>
      <c r="E25" s="49">
        <f t="shared" si="1"/>
        <v>11760</v>
      </c>
    </row>
    <row r="26" spans="1:5" x14ac:dyDescent="0.3">
      <c r="A26" s="45">
        <v>18</v>
      </c>
      <c r="B26" s="46" t="s">
        <v>37</v>
      </c>
      <c r="C26" s="47">
        <v>7</v>
      </c>
      <c r="D26" s="48">
        <v>845</v>
      </c>
      <c r="E26" s="49">
        <f t="shared" si="1"/>
        <v>5915</v>
      </c>
    </row>
    <row r="27" spans="1:5" x14ac:dyDescent="0.3">
      <c r="A27" s="45">
        <v>19</v>
      </c>
      <c r="B27" s="46" t="s">
        <v>38</v>
      </c>
      <c r="C27" s="47">
        <v>7</v>
      </c>
      <c r="D27" s="48">
        <v>825</v>
      </c>
      <c r="E27" s="49">
        <f t="shared" si="1"/>
        <v>5775</v>
      </c>
    </row>
    <row r="28" spans="1:5" x14ac:dyDescent="0.3">
      <c r="A28" s="45">
        <v>20</v>
      </c>
      <c r="B28" s="46" t="s">
        <v>39</v>
      </c>
      <c r="C28" s="47">
        <v>30</v>
      </c>
      <c r="D28" s="48">
        <v>575</v>
      </c>
      <c r="E28" s="49">
        <f t="shared" si="1"/>
        <v>17250</v>
      </c>
    </row>
    <row r="29" spans="1:5" x14ac:dyDescent="0.3">
      <c r="A29" s="45">
        <v>21</v>
      </c>
      <c r="B29" s="46" t="s">
        <v>40</v>
      </c>
      <c r="C29" s="47">
        <v>7</v>
      </c>
      <c r="D29" s="48">
        <v>3495</v>
      </c>
      <c r="E29" s="49">
        <f t="shared" si="1"/>
        <v>24465</v>
      </c>
    </row>
    <row r="30" spans="1:5" x14ac:dyDescent="0.3">
      <c r="A30" s="45">
        <v>22</v>
      </c>
      <c r="B30" s="46" t="s">
        <v>41</v>
      </c>
      <c r="C30" s="47">
        <v>7</v>
      </c>
      <c r="D30" s="48">
        <v>3195</v>
      </c>
      <c r="E30" s="49">
        <f t="shared" si="1"/>
        <v>22365</v>
      </c>
    </row>
    <row r="31" spans="1:5" x14ac:dyDescent="0.3">
      <c r="A31" s="45"/>
      <c r="B31" s="46"/>
      <c r="C31" s="47"/>
      <c r="D31" s="48"/>
      <c r="E31" s="103">
        <f>SUM(E21:E30)</f>
        <v>151800</v>
      </c>
    </row>
    <row r="32" spans="1:5" x14ac:dyDescent="0.3">
      <c r="A32" s="45">
        <v>23</v>
      </c>
      <c r="B32" s="46" t="s">
        <v>42</v>
      </c>
      <c r="C32" s="47">
        <v>1</v>
      </c>
      <c r="D32" s="48">
        <v>15000</v>
      </c>
      <c r="E32" s="49">
        <f t="shared" si="1"/>
        <v>15000</v>
      </c>
    </row>
    <row r="33" spans="1:12" x14ac:dyDescent="0.3">
      <c r="A33" s="198" t="s">
        <v>47</v>
      </c>
      <c r="B33" s="198"/>
      <c r="C33" s="198"/>
      <c r="D33" s="198"/>
      <c r="E33" s="29">
        <f>SUM(E7:E32)</f>
        <v>4256150</v>
      </c>
    </row>
    <row r="34" spans="1:12" x14ac:dyDescent="0.3">
      <c r="A34" s="2">
        <v>24</v>
      </c>
      <c r="B34" s="30" t="s">
        <v>67</v>
      </c>
      <c r="E34" s="6"/>
      <c r="J34" s="22"/>
      <c r="L34" s="22"/>
    </row>
    <row r="35" spans="1:12" x14ac:dyDescent="0.3">
      <c r="A35" s="45"/>
      <c r="B35" s="46" t="s">
        <v>43</v>
      </c>
      <c r="C35" s="47">
        <v>50</v>
      </c>
      <c r="D35" s="48">
        <v>3000</v>
      </c>
      <c r="E35" s="49">
        <f>C35*D35</f>
        <v>150000</v>
      </c>
      <c r="J35" s="22"/>
      <c r="L35" s="22"/>
    </row>
    <row r="36" spans="1:12" x14ac:dyDescent="0.3">
      <c r="A36" s="45"/>
      <c r="B36" s="46" t="s">
        <v>44</v>
      </c>
      <c r="C36" s="47">
        <v>50</v>
      </c>
      <c r="D36" s="48">
        <v>6000</v>
      </c>
      <c r="E36" s="49">
        <f t="shared" ref="E36:E38" si="2">C36*D36</f>
        <v>300000</v>
      </c>
      <c r="J36" s="22"/>
      <c r="L36" s="22"/>
    </row>
    <row r="37" spans="1:12" x14ac:dyDescent="0.3">
      <c r="A37" s="45"/>
      <c r="B37" s="46" t="s">
        <v>45</v>
      </c>
      <c r="C37" s="47">
        <v>50</v>
      </c>
      <c r="D37" s="48">
        <v>7000</v>
      </c>
      <c r="E37" s="49">
        <f t="shared" si="2"/>
        <v>350000</v>
      </c>
      <c r="J37" s="22"/>
      <c r="L37" s="22"/>
    </row>
    <row r="38" spans="1:12" x14ac:dyDescent="0.3">
      <c r="A38" s="45"/>
      <c r="B38" s="46" t="s">
        <v>46</v>
      </c>
      <c r="C38" s="47">
        <v>50</v>
      </c>
      <c r="D38" s="48">
        <v>4500</v>
      </c>
      <c r="E38" s="49">
        <f t="shared" si="2"/>
        <v>225000</v>
      </c>
      <c r="J38" s="22"/>
      <c r="L38" s="22"/>
    </row>
    <row r="39" spans="1:12" x14ac:dyDescent="0.3">
      <c r="A39" s="198" t="s">
        <v>48</v>
      </c>
      <c r="B39" s="198"/>
      <c r="C39" s="198"/>
      <c r="D39" s="198"/>
      <c r="E39" s="29">
        <f>SUM(E35:E38)</f>
        <v>1025000</v>
      </c>
    </row>
    <row r="40" spans="1:12" x14ac:dyDescent="0.3">
      <c r="A40" s="51">
        <v>25</v>
      </c>
      <c r="B40" s="51" t="s">
        <v>50</v>
      </c>
      <c r="C40" s="52"/>
      <c r="D40" s="52"/>
      <c r="E40" s="53">
        <v>150000</v>
      </c>
    </row>
    <row r="41" spans="1:12" x14ac:dyDescent="0.3">
      <c r="A41" s="51">
        <v>26</v>
      </c>
      <c r="B41" s="51" t="s">
        <v>51</v>
      </c>
      <c r="C41" s="51"/>
      <c r="D41" s="51"/>
      <c r="E41" s="53">
        <v>200000</v>
      </c>
    </row>
    <row r="42" spans="1:12" x14ac:dyDescent="0.3">
      <c r="A42" s="51">
        <v>27</v>
      </c>
      <c r="B42" s="51" t="s">
        <v>52</v>
      </c>
      <c r="C42" s="51"/>
      <c r="D42" s="51"/>
      <c r="E42" s="53">
        <v>125000</v>
      </c>
    </row>
    <row r="43" spans="1:12" x14ac:dyDescent="0.3">
      <c r="A43" s="1"/>
      <c r="B43" s="1" t="s">
        <v>53</v>
      </c>
      <c r="C43" s="50"/>
      <c r="D43" s="50"/>
      <c r="E43" s="54">
        <f>SUM(E40:E42)</f>
        <v>475000</v>
      </c>
    </row>
    <row r="44" spans="1:12" ht="23.4" customHeight="1" thickBot="1" x14ac:dyDescent="0.35">
      <c r="B44" s="33" t="s">
        <v>49</v>
      </c>
      <c r="C44" s="34"/>
      <c r="D44" s="35"/>
      <c r="E44" s="36">
        <f>E33+E39+E43</f>
        <v>5756150</v>
      </c>
      <c r="J44" s="22"/>
      <c r="L44" s="22"/>
    </row>
    <row r="45" spans="1:12" ht="15" thickTop="1" x14ac:dyDescent="0.3">
      <c r="C45" s="31"/>
      <c r="E45" s="32"/>
      <c r="J45" s="22"/>
      <c r="L45" s="22"/>
    </row>
    <row r="46" spans="1:12" x14ac:dyDescent="0.3">
      <c r="C46" s="31"/>
      <c r="E46" s="32"/>
      <c r="J46" s="22"/>
      <c r="L46" s="22"/>
    </row>
    <row r="47" spans="1:12" x14ac:dyDescent="0.3">
      <c r="C47" s="31"/>
      <c r="E47" s="32"/>
      <c r="J47" s="22"/>
      <c r="L47" s="22"/>
    </row>
  </sheetData>
  <mergeCells count="3">
    <mergeCell ref="A2:E2"/>
    <mergeCell ref="A33:D33"/>
    <mergeCell ref="A39:D39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4"/>
  <sheetViews>
    <sheetView zoomScaleNormal="100" workbookViewId="0">
      <selection activeCell="I27" sqref="H27:I27"/>
    </sheetView>
  </sheetViews>
  <sheetFormatPr defaultRowHeight="14.4" x14ac:dyDescent="0.3"/>
  <cols>
    <col min="2" max="2" width="11.109375" style="2" customWidth="1"/>
    <col min="3" max="3" width="41.6640625" style="4" bestFit="1" customWidth="1"/>
    <col min="4" max="4" width="16" style="3" customWidth="1"/>
    <col min="5" max="5" width="15.33203125" style="5" customWidth="1"/>
    <col min="6" max="6" width="15" style="5" customWidth="1"/>
  </cols>
  <sheetData>
    <row r="1" spans="2:13" x14ac:dyDescent="0.3">
      <c r="E1" s="199"/>
      <c r="F1" s="199"/>
    </row>
    <row r="2" spans="2:13" s="1" customFormat="1" ht="22.2" customHeight="1" thickBot="1" x14ac:dyDescent="0.35">
      <c r="B2" s="195" t="s">
        <v>71</v>
      </c>
      <c r="C2" s="195"/>
      <c r="D2" s="195"/>
      <c r="E2" s="195"/>
      <c r="F2" s="195"/>
    </row>
    <row r="3" spans="2:13" s="7" customFormat="1" ht="28.5" customHeight="1" x14ac:dyDescent="0.3">
      <c r="B3" s="63" t="s">
        <v>4</v>
      </c>
      <c r="C3" s="64" t="s">
        <v>0</v>
      </c>
      <c r="D3" s="65" t="s">
        <v>3</v>
      </c>
      <c r="E3" s="66" t="s">
        <v>1</v>
      </c>
      <c r="F3" s="67" t="s">
        <v>2</v>
      </c>
    </row>
    <row r="4" spans="2:13" s="7" customFormat="1" ht="6.45" customHeight="1" x14ac:dyDescent="0.3">
      <c r="B4" s="58"/>
      <c r="C4" s="20"/>
      <c r="D4" s="57"/>
      <c r="F4" s="59"/>
    </row>
    <row r="5" spans="2:13" s="7" customFormat="1" ht="15.6" x14ac:dyDescent="0.3">
      <c r="B5" s="200" t="s">
        <v>54</v>
      </c>
      <c r="C5" s="201"/>
      <c r="D5" s="57"/>
      <c r="F5" s="59"/>
    </row>
    <row r="6" spans="2:13" x14ac:dyDescent="0.3">
      <c r="B6" s="60"/>
      <c r="C6" s="46" t="s">
        <v>80</v>
      </c>
      <c r="D6" s="47"/>
      <c r="E6" s="48"/>
      <c r="F6" s="98">
        <v>500000</v>
      </c>
    </row>
    <row r="7" spans="2:13" x14ac:dyDescent="0.3">
      <c r="B7" s="1"/>
      <c r="C7" s="1"/>
      <c r="D7" s="1"/>
      <c r="E7" s="1"/>
      <c r="F7" s="54"/>
    </row>
    <row r="8" spans="2:13" ht="16.2" thickBot="1" x14ac:dyDescent="0.35">
      <c r="B8" s="202" t="s">
        <v>79</v>
      </c>
      <c r="C8" s="202"/>
      <c r="D8" s="31"/>
      <c r="F8" s="32"/>
      <c r="K8" s="22"/>
      <c r="M8" s="22"/>
    </row>
    <row r="9" spans="2:13" x14ac:dyDescent="0.3">
      <c r="B9" s="69"/>
      <c r="C9" s="70" t="s">
        <v>43</v>
      </c>
      <c r="D9" s="71"/>
      <c r="E9" s="72"/>
      <c r="F9" s="73">
        <v>75000</v>
      </c>
      <c r="K9" s="22"/>
      <c r="M9" s="22"/>
    </row>
    <row r="10" spans="2:13" x14ac:dyDescent="0.3">
      <c r="B10" s="60"/>
      <c r="C10" s="46" t="s">
        <v>44</v>
      </c>
      <c r="D10" s="47"/>
      <c r="E10" s="48"/>
      <c r="F10" s="61">
        <v>150000</v>
      </c>
      <c r="K10" s="22"/>
      <c r="M10" s="22"/>
    </row>
    <row r="11" spans="2:13" x14ac:dyDescent="0.3">
      <c r="B11" s="60"/>
      <c r="C11" s="46" t="s">
        <v>45</v>
      </c>
      <c r="D11" s="47"/>
      <c r="E11" s="48"/>
      <c r="F11" s="61">
        <v>175000</v>
      </c>
      <c r="J11">
        <f>350/2</f>
        <v>175</v>
      </c>
      <c r="K11" s="22"/>
      <c r="M11" s="22"/>
    </row>
    <row r="12" spans="2:13" x14ac:dyDescent="0.3">
      <c r="B12" s="60"/>
      <c r="C12" s="46" t="s">
        <v>46</v>
      </c>
      <c r="D12" s="47"/>
      <c r="E12" s="48"/>
      <c r="F12" s="61">
        <v>100000</v>
      </c>
      <c r="J12">
        <f>225/2</f>
        <v>112.5</v>
      </c>
      <c r="K12" s="22"/>
      <c r="M12" s="22"/>
    </row>
    <row r="13" spans="2:13" ht="15" thickBot="1" x14ac:dyDescent="0.35">
      <c r="B13" s="62"/>
      <c r="C13" s="68" t="s">
        <v>5</v>
      </c>
      <c r="D13" s="55"/>
      <c r="E13" s="56"/>
      <c r="F13" s="74">
        <f>SUM(F9:F12)</f>
        <v>500000</v>
      </c>
    </row>
    <row r="14" spans="2:13" x14ac:dyDescent="0.3">
      <c r="B14" s="82"/>
      <c r="C14" s="82" t="s">
        <v>81</v>
      </c>
      <c r="D14" s="82"/>
      <c r="E14" s="82"/>
      <c r="F14" s="83">
        <f>F6+F13</f>
        <v>1000000</v>
      </c>
    </row>
  </sheetData>
  <mergeCells count="4">
    <mergeCell ref="E1:F1"/>
    <mergeCell ref="B2:F2"/>
    <mergeCell ref="B5:C5"/>
    <mergeCell ref="B8:C8"/>
  </mergeCells>
  <pageMargins left="0.70866141732283505" right="0.70866141732283505" top="0" bottom="0.74803149599999996" header="0.31496062992126" footer="0.31496062992126"/>
  <pageSetup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topLeftCell="A37" zoomScaleNormal="100" workbookViewId="0">
      <selection activeCell="J36" sqref="J36"/>
    </sheetView>
  </sheetViews>
  <sheetFormatPr defaultRowHeight="14.4" x14ac:dyDescent="0.3"/>
  <cols>
    <col min="1" max="1" width="11.109375" style="2" customWidth="1"/>
    <col min="2" max="2" width="41.6640625" style="4" bestFit="1" customWidth="1"/>
    <col min="3" max="3" width="16" style="3" customWidth="1"/>
    <col min="4" max="4" width="15.33203125" style="5" customWidth="1"/>
    <col min="5" max="5" width="15" style="5" customWidth="1"/>
  </cols>
  <sheetData>
    <row r="1" spans="1:5" x14ac:dyDescent="0.3">
      <c r="D1" s="199">
        <v>45912</v>
      </c>
      <c r="E1" s="199"/>
    </row>
    <row r="2" spans="1:5" s="1" customFormat="1" ht="22.2" customHeight="1" thickBot="1" x14ac:dyDescent="0.35">
      <c r="A2" s="195" t="s">
        <v>71</v>
      </c>
      <c r="B2" s="195"/>
      <c r="C2" s="195"/>
      <c r="D2" s="195"/>
      <c r="E2" s="195"/>
    </row>
    <row r="3" spans="1:5" s="7" customFormat="1" ht="28.5" customHeight="1" x14ac:dyDescent="0.3">
      <c r="A3" s="63" t="s">
        <v>4</v>
      </c>
      <c r="B3" s="64" t="s">
        <v>0</v>
      </c>
      <c r="C3" s="65" t="s">
        <v>3</v>
      </c>
      <c r="D3" s="66" t="s">
        <v>1</v>
      </c>
      <c r="E3" s="67" t="s">
        <v>2</v>
      </c>
    </row>
    <row r="4" spans="1:5" s="7" customFormat="1" ht="6.45" customHeight="1" x14ac:dyDescent="0.3">
      <c r="A4" s="58"/>
      <c r="B4" s="20"/>
      <c r="C4" s="57"/>
      <c r="E4" s="59"/>
    </row>
    <row r="5" spans="1:5" s="7" customFormat="1" ht="15.6" x14ac:dyDescent="0.3">
      <c r="A5" s="200" t="s">
        <v>54</v>
      </c>
      <c r="B5" s="201"/>
      <c r="C5" s="57"/>
      <c r="E5" s="59"/>
    </row>
    <row r="6" spans="1:5" x14ac:dyDescent="0.3">
      <c r="A6" s="60">
        <v>1</v>
      </c>
      <c r="B6" s="46" t="s">
        <v>20</v>
      </c>
      <c r="C6" s="47"/>
      <c r="D6" s="48"/>
      <c r="E6" s="61">
        <v>350000</v>
      </c>
    </row>
    <row r="7" spans="1:5" x14ac:dyDescent="0.3">
      <c r="A7" s="60">
        <v>2</v>
      </c>
      <c r="B7" s="46" t="s">
        <v>21</v>
      </c>
      <c r="C7" s="47"/>
      <c r="D7" s="48"/>
      <c r="E7" s="61">
        <v>50000</v>
      </c>
    </row>
    <row r="8" spans="1:5" ht="15" thickBot="1" x14ac:dyDescent="0.35">
      <c r="A8" s="62"/>
      <c r="B8" s="68" t="s">
        <v>53</v>
      </c>
      <c r="C8" s="55"/>
      <c r="D8" s="56"/>
      <c r="E8" s="74">
        <f>SUM(E6:E7)</f>
        <v>400000</v>
      </c>
    </row>
    <row r="9" spans="1:5" x14ac:dyDescent="0.3">
      <c r="C9" s="31"/>
      <c r="E9" s="32"/>
    </row>
    <row r="10" spans="1:5" s="7" customFormat="1" ht="16.2" thickBot="1" x14ac:dyDescent="0.35">
      <c r="A10" s="202" t="s">
        <v>55</v>
      </c>
      <c r="B10" s="202"/>
      <c r="C10" s="57"/>
    </row>
    <row r="11" spans="1:5" x14ac:dyDescent="0.3">
      <c r="A11" s="69">
        <v>3</v>
      </c>
      <c r="B11" s="70" t="s">
        <v>22</v>
      </c>
      <c r="C11" s="71"/>
      <c r="D11" s="72"/>
      <c r="E11" s="73">
        <v>200000</v>
      </c>
    </row>
    <row r="12" spans="1:5" x14ac:dyDescent="0.3">
      <c r="A12" s="60">
        <v>4</v>
      </c>
      <c r="B12" s="46" t="s">
        <v>23</v>
      </c>
      <c r="C12" s="47"/>
      <c r="D12" s="48"/>
      <c r="E12" s="61">
        <v>100000</v>
      </c>
    </row>
    <row r="13" spans="1:5" x14ac:dyDescent="0.3">
      <c r="A13" s="60">
        <v>5</v>
      </c>
      <c r="B13" s="46" t="s">
        <v>24</v>
      </c>
      <c r="C13" s="47"/>
      <c r="D13" s="48"/>
      <c r="E13" s="61">
        <v>25000</v>
      </c>
    </row>
    <row r="14" spans="1:5" x14ac:dyDescent="0.3">
      <c r="A14" s="60">
        <v>6</v>
      </c>
      <c r="B14" s="46" t="s">
        <v>25</v>
      </c>
      <c r="C14" s="47"/>
      <c r="D14" s="48"/>
      <c r="E14" s="61">
        <v>20000</v>
      </c>
    </row>
    <row r="15" spans="1:5" x14ac:dyDescent="0.3">
      <c r="A15" s="60">
        <v>7</v>
      </c>
      <c r="B15" s="46" t="s">
        <v>26</v>
      </c>
      <c r="C15" s="47"/>
      <c r="D15" s="48"/>
      <c r="E15" s="61">
        <v>50000</v>
      </c>
    </row>
    <row r="16" spans="1:5" x14ac:dyDescent="0.3">
      <c r="A16" s="60">
        <v>8</v>
      </c>
      <c r="B16" s="46" t="s">
        <v>27</v>
      </c>
      <c r="C16" s="47"/>
      <c r="D16" s="48"/>
      <c r="E16" s="61">
        <v>20000</v>
      </c>
    </row>
    <row r="17" spans="1:5" x14ac:dyDescent="0.3">
      <c r="A17" s="60">
        <v>9</v>
      </c>
      <c r="B17" s="46" t="s">
        <v>28</v>
      </c>
      <c r="C17" s="47"/>
      <c r="D17" s="48"/>
      <c r="E17" s="61">
        <v>10000</v>
      </c>
    </row>
    <row r="18" spans="1:5" x14ac:dyDescent="0.3">
      <c r="A18" s="60">
        <v>10</v>
      </c>
      <c r="B18" s="46" t="s">
        <v>29</v>
      </c>
      <c r="C18" s="47"/>
      <c r="D18" s="48"/>
      <c r="E18" s="61">
        <v>25000</v>
      </c>
    </row>
    <row r="19" spans="1:5" x14ac:dyDescent="0.3">
      <c r="A19" s="60">
        <v>11</v>
      </c>
      <c r="B19" s="46" t="s">
        <v>30</v>
      </c>
      <c r="C19" s="47"/>
      <c r="D19" s="48"/>
      <c r="E19" s="61">
        <v>50000</v>
      </c>
    </row>
    <row r="20" spans="1:5" x14ac:dyDescent="0.3">
      <c r="A20" s="60">
        <v>12</v>
      </c>
      <c r="B20" s="46" t="s">
        <v>31</v>
      </c>
      <c r="C20" s="47"/>
      <c r="D20" s="48"/>
      <c r="E20" s="61">
        <v>50000</v>
      </c>
    </row>
    <row r="21" spans="1:5" ht="15" thickBot="1" x14ac:dyDescent="0.35">
      <c r="A21" s="62"/>
      <c r="B21" s="68" t="s">
        <v>53</v>
      </c>
      <c r="C21" s="55"/>
      <c r="D21" s="56"/>
      <c r="E21" s="74">
        <f>SUM(E11:E20)</f>
        <v>550000</v>
      </c>
    </row>
    <row r="22" spans="1:5" x14ac:dyDescent="0.3">
      <c r="B22" s="30"/>
      <c r="C22" s="31"/>
      <c r="E22" s="54"/>
    </row>
    <row r="23" spans="1:5" s="7" customFormat="1" ht="16.2" thickBot="1" x14ac:dyDescent="0.35">
      <c r="A23" s="202" t="s">
        <v>56</v>
      </c>
      <c r="B23" s="202"/>
      <c r="C23" s="57"/>
    </row>
    <row r="24" spans="1:5" x14ac:dyDescent="0.3">
      <c r="A24" s="69">
        <v>13</v>
      </c>
      <c r="B24" s="70" t="s">
        <v>32</v>
      </c>
      <c r="C24" s="71"/>
      <c r="D24" s="72"/>
      <c r="E24" s="73">
        <v>15000</v>
      </c>
    </row>
    <row r="25" spans="1:5" x14ac:dyDescent="0.3">
      <c r="A25" s="60">
        <v>14</v>
      </c>
      <c r="B25" s="46" t="s">
        <v>33</v>
      </c>
      <c r="C25" s="47"/>
      <c r="D25" s="48"/>
      <c r="E25" s="61">
        <v>8000</v>
      </c>
    </row>
    <row r="26" spans="1:5" x14ac:dyDescent="0.3">
      <c r="A26" s="60">
        <v>15</v>
      </c>
      <c r="B26" s="46" t="s">
        <v>34</v>
      </c>
      <c r="C26" s="47"/>
      <c r="D26" s="48"/>
      <c r="E26" s="61">
        <v>5000</v>
      </c>
    </row>
    <row r="27" spans="1:5" x14ac:dyDescent="0.3">
      <c r="A27" s="60">
        <v>16</v>
      </c>
      <c r="B27" s="46" t="s">
        <v>35</v>
      </c>
      <c r="C27" s="47"/>
      <c r="D27" s="48"/>
      <c r="E27" s="61">
        <v>5000</v>
      </c>
    </row>
    <row r="28" spans="1:5" x14ac:dyDescent="0.3">
      <c r="A28" s="60">
        <v>17</v>
      </c>
      <c r="B28" s="46" t="s">
        <v>36</v>
      </c>
      <c r="C28" s="47"/>
      <c r="D28" s="48"/>
      <c r="E28" s="61">
        <v>6000</v>
      </c>
    </row>
    <row r="29" spans="1:5" x14ac:dyDescent="0.3">
      <c r="A29" s="60">
        <v>18</v>
      </c>
      <c r="B29" s="46" t="s">
        <v>37</v>
      </c>
      <c r="C29" s="47"/>
      <c r="D29" s="48"/>
      <c r="E29" s="61">
        <v>5225</v>
      </c>
    </row>
    <row r="30" spans="1:5" x14ac:dyDescent="0.3">
      <c r="A30" s="60">
        <v>19</v>
      </c>
      <c r="B30" s="46" t="s">
        <v>38</v>
      </c>
      <c r="C30" s="47"/>
      <c r="D30" s="48"/>
      <c r="E30" s="61">
        <v>5775</v>
      </c>
    </row>
    <row r="31" spans="1:5" x14ac:dyDescent="0.3">
      <c r="A31" s="60">
        <v>20</v>
      </c>
      <c r="B31" s="46" t="s">
        <v>39</v>
      </c>
      <c r="C31" s="47"/>
      <c r="D31" s="48"/>
      <c r="E31" s="61">
        <f>10000+5000</f>
        <v>15000</v>
      </c>
    </row>
    <row r="32" spans="1:5" x14ac:dyDescent="0.3">
      <c r="A32" s="60">
        <v>21</v>
      </c>
      <c r="B32" s="46" t="s">
        <v>40</v>
      </c>
      <c r="C32" s="47"/>
      <c r="D32" s="48"/>
      <c r="E32" s="61">
        <f>15000+5000</f>
        <v>20000</v>
      </c>
    </row>
    <row r="33" spans="1:12" x14ac:dyDescent="0.3">
      <c r="A33" s="60">
        <v>22</v>
      </c>
      <c r="B33" s="46" t="s">
        <v>41</v>
      </c>
      <c r="C33" s="47"/>
      <c r="D33" s="48"/>
      <c r="E33" s="61">
        <f>10000+5000</f>
        <v>15000</v>
      </c>
    </row>
    <row r="34" spans="1:12" x14ac:dyDescent="0.3">
      <c r="A34" s="60"/>
      <c r="B34" s="46"/>
      <c r="C34" s="47"/>
      <c r="D34" s="48"/>
      <c r="E34" s="61"/>
    </row>
    <row r="35" spans="1:12" x14ac:dyDescent="0.3">
      <c r="A35" s="60">
        <v>23</v>
      </c>
      <c r="B35" s="46" t="s">
        <v>42</v>
      </c>
      <c r="C35" s="47"/>
      <c r="D35" s="48"/>
      <c r="E35" s="61">
        <v>0</v>
      </c>
    </row>
    <row r="36" spans="1:12" ht="15" thickBot="1" x14ac:dyDescent="0.35">
      <c r="A36" s="62"/>
      <c r="B36" s="68" t="s">
        <v>5</v>
      </c>
      <c r="C36" s="55"/>
      <c r="D36" s="56"/>
      <c r="E36" s="74">
        <f>SUM(E24:E35)</f>
        <v>100000</v>
      </c>
    </row>
    <row r="37" spans="1:12" x14ac:dyDescent="0.3">
      <c r="A37" s="1"/>
      <c r="B37" s="1"/>
      <c r="C37" s="1"/>
      <c r="D37" s="1"/>
      <c r="E37" s="54"/>
    </row>
    <row r="38" spans="1:12" ht="16.2" thickBot="1" x14ac:dyDescent="0.35">
      <c r="A38" s="202" t="s">
        <v>79</v>
      </c>
      <c r="B38" s="202"/>
      <c r="C38" s="31"/>
      <c r="E38" s="32"/>
      <c r="J38" s="22"/>
      <c r="L38" s="22"/>
    </row>
    <row r="39" spans="1:12" x14ac:dyDescent="0.3">
      <c r="A39" s="69">
        <v>24</v>
      </c>
      <c r="B39" s="70" t="s">
        <v>43</v>
      </c>
      <c r="C39" s="71"/>
      <c r="D39" s="72"/>
      <c r="E39" s="73">
        <v>75000</v>
      </c>
      <c r="J39" s="22"/>
      <c r="L39" s="22"/>
    </row>
    <row r="40" spans="1:12" x14ac:dyDescent="0.3">
      <c r="A40" s="60"/>
      <c r="B40" s="46" t="s">
        <v>44</v>
      </c>
      <c r="C40" s="47"/>
      <c r="D40" s="48"/>
      <c r="E40" s="61">
        <v>150000</v>
      </c>
      <c r="J40" s="22"/>
      <c r="L40" s="22"/>
    </row>
    <row r="41" spans="1:12" x14ac:dyDescent="0.3">
      <c r="A41" s="60"/>
      <c r="B41" s="46" t="s">
        <v>45</v>
      </c>
      <c r="C41" s="47"/>
      <c r="D41" s="48"/>
      <c r="E41" s="61">
        <v>175000</v>
      </c>
      <c r="I41">
        <f>350/2</f>
        <v>175</v>
      </c>
      <c r="J41" s="22"/>
      <c r="L41" s="22"/>
    </row>
    <row r="42" spans="1:12" x14ac:dyDescent="0.3">
      <c r="A42" s="60"/>
      <c r="B42" s="46" t="s">
        <v>46</v>
      </c>
      <c r="C42" s="47"/>
      <c r="D42" s="48"/>
      <c r="E42" s="61">
        <v>100000</v>
      </c>
      <c r="I42">
        <f>225/2</f>
        <v>112.5</v>
      </c>
      <c r="J42" s="22"/>
      <c r="L42" s="22"/>
    </row>
    <row r="43" spans="1:12" ht="15" thickBot="1" x14ac:dyDescent="0.35">
      <c r="A43" s="62"/>
      <c r="B43" s="68" t="s">
        <v>5</v>
      </c>
      <c r="C43" s="55"/>
      <c r="D43" s="56"/>
      <c r="E43" s="74">
        <f>SUM(E39:E42)</f>
        <v>500000</v>
      </c>
    </row>
    <row r="44" spans="1:12" x14ac:dyDescent="0.3">
      <c r="A44" s="82"/>
      <c r="B44" s="82"/>
      <c r="C44" s="82"/>
      <c r="D44" s="82"/>
      <c r="E44" s="83"/>
    </row>
    <row r="45" spans="1:12" ht="16.2" thickBot="1" x14ac:dyDescent="0.35">
      <c r="A45" s="202" t="s">
        <v>57</v>
      </c>
      <c r="B45" s="202"/>
      <c r="C45" s="85"/>
      <c r="D45" s="85"/>
      <c r="E45" s="86"/>
    </row>
    <row r="46" spans="1:12" x14ac:dyDescent="0.3">
      <c r="A46" s="91">
        <v>25</v>
      </c>
      <c r="B46" s="92" t="s">
        <v>59</v>
      </c>
      <c r="C46" s="93"/>
      <c r="D46" s="93"/>
      <c r="E46" s="94">
        <v>50000</v>
      </c>
    </row>
    <row r="47" spans="1:12" ht="15" thickBot="1" x14ac:dyDescent="0.35">
      <c r="A47" s="95"/>
      <c r="B47" s="97" t="s">
        <v>53</v>
      </c>
      <c r="C47" s="96"/>
      <c r="D47" s="96"/>
      <c r="E47" s="84">
        <f>SUM(E46:E46)</f>
        <v>50000</v>
      </c>
    </row>
    <row r="48" spans="1:12" ht="23.4" customHeight="1" thickBot="1" x14ac:dyDescent="0.35">
      <c r="B48" s="87" t="s">
        <v>58</v>
      </c>
      <c r="C48" s="88"/>
      <c r="D48" s="89"/>
      <c r="E48" s="90">
        <f>E36+E43+E47+E21+E8</f>
        <v>1600000</v>
      </c>
      <c r="J48" s="22"/>
      <c r="L48" s="22"/>
    </row>
    <row r="49" spans="1:12" ht="21.6" thickTop="1" x14ac:dyDescent="0.3">
      <c r="A49" s="203" t="s">
        <v>60</v>
      </c>
      <c r="B49" s="203"/>
      <c r="C49" s="203"/>
      <c r="D49" s="203"/>
      <c r="E49" s="203"/>
      <c r="J49" s="22"/>
      <c r="L49" s="22"/>
    </row>
    <row r="50" spans="1:12" ht="28.8" x14ac:dyDescent="0.3">
      <c r="B50" s="80" t="s">
        <v>61</v>
      </c>
      <c r="C50" s="75" t="s">
        <v>62</v>
      </c>
      <c r="D50" s="80" t="s">
        <v>70</v>
      </c>
      <c r="E50" s="81" t="s">
        <v>63</v>
      </c>
      <c r="J50" s="22"/>
      <c r="L50" s="22"/>
    </row>
    <row r="51" spans="1:12" x14ac:dyDescent="0.3">
      <c r="B51" s="46" t="s">
        <v>64</v>
      </c>
      <c r="C51" s="47">
        <v>837500</v>
      </c>
      <c r="D51" s="49">
        <v>400000</v>
      </c>
      <c r="E51" s="49">
        <f t="shared" ref="E51:E56" si="0">C51-D51</f>
        <v>437500</v>
      </c>
    </row>
    <row r="52" spans="1:12" x14ac:dyDescent="0.3">
      <c r="B52" s="46" t="s">
        <v>65</v>
      </c>
      <c r="C52" s="47">
        <v>1131275</v>
      </c>
      <c r="D52" s="49">
        <v>550000</v>
      </c>
      <c r="E52" s="49">
        <f t="shared" si="0"/>
        <v>581275</v>
      </c>
    </row>
    <row r="53" spans="1:12" x14ac:dyDescent="0.3">
      <c r="B53" s="46" t="s">
        <v>66</v>
      </c>
      <c r="C53" s="47">
        <v>151800</v>
      </c>
      <c r="D53" s="49">
        <v>100000</v>
      </c>
      <c r="E53" s="49">
        <f t="shared" si="0"/>
        <v>51800</v>
      </c>
    </row>
    <row r="54" spans="1:12" x14ac:dyDescent="0.3">
      <c r="B54" s="46" t="s">
        <v>68</v>
      </c>
      <c r="C54" s="47">
        <v>1025000</v>
      </c>
      <c r="D54" s="49">
        <v>500000</v>
      </c>
      <c r="E54" s="49">
        <f t="shared" si="0"/>
        <v>525000</v>
      </c>
    </row>
    <row r="55" spans="1:12" x14ac:dyDescent="0.3">
      <c r="B55" s="46" t="s">
        <v>69</v>
      </c>
      <c r="C55" s="47">
        <v>475000</v>
      </c>
      <c r="D55" s="49">
        <v>50000</v>
      </c>
      <c r="E55" s="49">
        <f t="shared" si="0"/>
        <v>425000</v>
      </c>
    </row>
    <row r="56" spans="1:12" x14ac:dyDescent="0.3">
      <c r="B56" s="46" t="s">
        <v>42</v>
      </c>
      <c r="C56" s="47">
        <v>15000</v>
      </c>
      <c r="D56" s="49">
        <v>0</v>
      </c>
      <c r="E56" s="49">
        <f t="shared" si="0"/>
        <v>15000</v>
      </c>
    </row>
    <row r="57" spans="1:12" ht="15" thickBot="1" x14ac:dyDescent="0.35">
      <c r="B57" s="33" t="s">
        <v>5</v>
      </c>
      <c r="C57" s="34">
        <f>SUM(C51:C56)</f>
        <v>3635575</v>
      </c>
      <c r="D57" s="36">
        <f>SUM(D51:D56)</f>
        <v>1600000</v>
      </c>
      <c r="E57" s="78">
        <f>SUM(E51:E56)</f>
        <v>2035575</v>
      </c>
    </row>
    <row r="58" spans="1:12" ht="14.4" customHeight="1" thickTop="1" x14ac:dyDescent="0.3">
      <c r="A58" s="27" t="s">
        <v>7</v>
      </c>
    </row>
    <row r="59" spans="1:12" ht="28.95" customHeight="1" x14ac:dyDescent="0.3">
      <c r="A59" s="28" t="s">
        <v>8</v>
      </c>
      <c r="B59" s="197" t="s">
        <v>72</v>
      </c>
      <c r="C59" s="197"/>
      <c r="D59" s="197"/>
      <c r="E59" s="197"/>
    </row>
    <row r="60" spans="1:12" x14ac:dyDescent="0.3">
      <c r="I60" s="79"/>
    </row>
    <row r="61" spans="1:12" x14ac:dyDescent="0.3">
      <c r="I61" s="79"/>
    </row>
    <row r="63" spans="1:12" x14ac:dyDescent="0.3">
      <c r="A63" s="2" t="s">
        <v>73</v>
      </c>
      <c r="B63" s="4" t="s">
        <v>74</v>
      </c>
      <c r="E63" s="5" t="s">
        <v>75</v>
      </c>
    </row>
    <row r="64" spans="1:12" x14ac:dyDescent="0.3">
      <c r="A64" s="1" t="s">
        <v>76</v>
      </c>
      <c r="B64" s="30" t="s">
        <v>77</v>
      </c>
      <c r="C64" s="76"/>
      <c r="D64" s="77"/>
      <c r="E64" s="1" t="s">
        <v>78</v>
      </c>
    </row>
  </sheetData>
  <mergeCells count="9">
    <mergeCell ref="A49:E49"/>
    <mergeCell ref="D1:E1"/>
    <mergeCell ref="B59:E59"/>
    <mergeCell ref="A38:B38"/>
    <mergeCell ref="A45:B45"/>
    <mergeCell ref="A2:E2"/>
    <mergeCell ref="A5:B5"/>
    <mergeCell ref="A10:B10"/>
    <mergeCell ref="A23:B23"/>
  </mergeCells>
  <pageMargins left="0.70866141732283505" right="0.70866141732283505" top="0" bottom="0.74803149599999996" header="0.31496062992126" footer="0.31496062992126"/>
  <pageSetup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topLeftCell="A16" zoomScaleNormal="100" workbookViewId="0">
      <selection activeCell="K14" sqref="K14"/>
    </sheetView>
  </sheetViews>
  <sheetFormatPr defaultRowHeight="14.4" x14ac:dyDescent="0.3"/>
  <cols>
    <col min="1" max="1" width="11.109375" style="2" customWidth="1"/>
    <col min="2" max="2" width="41.6640625" style="4" bestFit="1" customWidth="1"/>
    <col min="3" max="3" width="16" style="3" customWidth="1"/>
    <col min="4" max="4" width="15.33203125" style="5" customWidth="1"/>
    <col min="5" max="5" width="15" style="5" customWidth="1"/>
  </cols>
  <sheetData>
    <row r="1" spans="1:5" x14ac:dyDescent="0.3">
      <c r="D1" s="199">
        <v>45936</v>
      </c>
      <c r="E1" s="199"/>
    </row>
    <row r="2" spans="1:5" s="1" customFormat="1" ht="22.2" customHeight="1" thickBot="1" x14ac:dyDescent="0.35">
      <c r="A2" s="195" t="s">
        <v>71</v>
      </c>
      <c r="B2" s="195"/>
      <c r="C2" s="195"/>
      <c r="D2" s="195"/>
      <c r="E2" s="195"/>
    </row>
    <row r="3" spans="1:5" s="7" customFormat="1" ht="28.5" customHeight="1" x14ac:dyDescent="0.3">
      <c r="A3" s="63" t="s">
        <v>4</v>
      </c>
      <c r="B3" s="64" t="s">
        <v>0</v>
      </c>
      <c r="C3" s="65" t="s">
        <v>3</v>
      </c>
      <c r="D3" s="66" t="s">
        <v>1</v>
      </c>
      <c r="E3" s="67" t="s">
        <v>2</v>
      </c>
    </row>
    <row r="4" spans="1:5" s="7" customFormat="1" ht="6.45" customHeight="1" x14ac:dyDescent="0.3">
      <c r="A4" s="58"/>
      <c r="B4" s="20"/>
      <c r="C4" s="57"/>
      <c r="E4" s="59"/>
    </row>
    <row r="5" spans="1:5" s="7" customFormat="1" ht="15.6" x14ac:dyDescent="0.3">
      <c r="A5" s="200" t="s">
        <v>54</v>
      </c>
      <c r="B5" s="201"/>
      <c r="C5" s="57"/>
      <c r="E5" s="59"/>
    </row>
    <row r="6" spans="1:5" x14ac:dyDescent="0.3">
      <c r="A6" s="60">
        <v>1</v>
      </c>
      <c r="B6" s="46" t="s">
        <v>20</v>
      </c>
      <c r="C6" s="47"/>
      <c r="D6" s="48"/>
      <c r="E6" s="61">
        <v>125000</v>
      </c>
    </row>
    <row r="7" spans="1:5" x14ac:dyDescent="0.3">
      <c r="A7" s="60">
        <v>2</v>
      </c>
      <c r="B7" s="46" t="s">
        <v>21</v>
      </c>
      <c r="C7" s="47"/>
      <c r="D7" s="48"/>
      <c r="E7" s="61">
        <v>25000</v>
      </c>
    </row>
    <row r="8" spans="1:5" ht="15" thickBot="1" x14ac:dyDescent="0.35">
      <c r="A8" s="62"/>
      <c r="B8" s="68" t="s">
        <v>53</v>
      </c>
      <c r="C8" s="55"/>
      <c r="D8" s="56"/>
      <c r="E8" s="74">
        <f>SUM(E6:E7)</f>
        <v>150000</v>
      </c>
    </row>
    <row r="9" spans="1:5" x14ac:dyDescent="0.3">
      <c r="C9" s="31"/>
      <c r="E9" s="32"/>
    </row>
    <row r="10" spans="1:5" s="7" customFormat="1" ht="16.2" thickBot="1" x14ac:dyDescent="0.35">
      <c r="A10" s="202" t="s">
        <v>55</v>
      </c>
      <c r="B10" s="202"/>
      <c r="C10" s="57"/>
    </row>
    <row r="11" spans="1:5" x14ac:dyDescent="0.3">
      <c r="A11" s="69">
        <v>3</v>
      </c>
      <c r="B11" s="70" t="s">
        <v>22</v>
      </c>
      <c r="C11" s="71"/>
      <c r="D11" s="72"/>
      <c r="E11" s="73">
        <v>50000</v>
      </c>
    </row>
    <row r="12" spans="1:5" x14ac:dyDescent="0.3">
      <c r="A12" s="60">
        <v>4</v>
      </c>
      <c r="B12" s="46" t="s">
        <v>23</v>
      </c>
      <c r="C12" s="47"/>
      <c r="D12" s="48"/>
      <c r="E12" s="61">
        <v>20000</v>
      </c>
    </row>
    <row r="13" spans="1:5" x14ac:dyDescent="0.3">
      <c r="A13" s="60">
        <v>5</v>
      </c>
      <c r="B13" s="46" t="s">
        <v>24</v>
      </c>
      <c r="C13" s="47"/>
      <c r="D13" s="48"/>
      <c r="E13" s="61">
        <v>10000</v>
      </c>
    </row>
    <row r="14" spans="1:5" x14ac:dyDescent="0.3">
      <c r="A14" s="60">
        <v>6</v>
      </c>
      <c r="B14" s="46" t="s">
        <v>25</v>
      </c>
      <c r="C14" s="47"/>
      <c r="D14" s="48"/>
      <c r="E14" s="61">
        <v>6000</v>
      </c>
    </row>
    <row r="15" spans="1:5" x14ac:dyDescent="0.3">
      <c r="A15" s="60">
        <v>7</v>
      </c>
      <c r="B15" s="46" t="s">
        <v>26</v>
      </c>
      <c r="C15" s="47"/>
      <c r="D15" s="48"/>
      <c r="E15" s="61">
        <v>10000</v>
      </c>
    </row>
    <row r="16" spans="1:5" x14ac:dyDescent="0.3">
      <c r="A16" s="60">
        <v>8</v>
      </c>
      <c r="B16" s="46" t="s">
        <v>27</v>
      </c>
      <c r="C16" s="47"/>
      <c r="D16" s="48"/>
      <c r="E16" s="61">
        <v>10000</v>
      </c>
    </row>
    <row r="17" spans="1:12" x14ac:dyDescent="0.3">
      <c r="A17" s="60">
        <v>9</v>
      </c>
      <c r="B17" s="46" t="s">
        <v>28</v>
      </c>
      <c r="C17" s="47"/>
      <c r="D17" s="48"/>
      <c r="E17" s="61">
        <v>5000</v>
      </c>
    </row>
    <row r="18" spans="1:12" x14ac:dyDescent="0.3">
      <c r="A18" s="60">
        <v>10</v>
      </c>
      <c r="B18" s="46" t="s">
        <v>29</v>
      </c>
      <c r="C18" s="47"/>
      <c r="D18" s="48"/>
      <c r="E18" s="61">
        <v>10000</v>
      </c>
    </row>
    <row r="19" spans="1:12" x14ac:dyDescent="0.3">
      <c r="A19" s="60">
        <v>11</v>
      </c>
      <c r="B19" s="46" t="s">
        <v>30</v>
      </c>
      <c r="C19" s="47"/>
      <c r="D19" s="48"/>
      <c r="E19" s="61">
        <v>20000</v>
      </c>
    </row>
    <row r="20" spans="1:12" x14ac:dyDescent="0.3">
      <c r="A20" s="60">
        <v>12</v>
      </c>
      <c r="B20" s="46" t="s">
        <v>31</v>
      </c>
      <c r="C20" s="47"/>
      <c r="D20" s="48"/>
      <c r="E20" s="61">
        <v>9000</v>
      </c>
    </row>
    <row r="21" spans="1:12" ht="15" thickBot="1" x14ac:dyDescent="0.35">
      <c r="A21" s="62"/>
      <c r="B21" s="68" t="s">
        <v>53</v>
      </c>
      <c r="C21" s="55"/>
      <c r="D21" s="56"/>
      <c r="E21" s="74">
        <f>SUM(E11:E20)</f>
        <v>150000</v>
      </c>
    </row>
    <row r="22" spans="1:12" x14ac:dyDescent="0.3">
      <c r="B22" s="30"/>
      <c r="C22" s="31"/>
      <c r="E22" s="54"/>
    </row>
    <row r="23" spans="1:12" ht="16.2" thickBot="1" x14ac:dyDescent="0.35">
      <c r="A23" s="202" t="s">
        <v>79</v>
      </c>
      <c r="B23" s="202"/>
      <c r="C23" s="31"/>
      <c r="E23" s="32"/>
      <c r="J23" s="22"/>
      <c r="L23" s="22"/>
    </row>
    <row r="24" spans="1:12" x14ac:dyDescent="0.3">
      <c r="A24" s="69">
        <v>24</v>
      </c>
      <c r="B24" s="70" t="s">
        <v>43</v>
      </c>
      <c r="C24" s="71"/>
      <c r="D24" s="72"/>
      <c r="E24" s="73">
        <v>25000</v>
      </c>
      <c r="J24" s="22"/>
      <c r="L24" s="22"/>
    </row>
    <row r="25" spans="1:12" x14ac:dyDescent="0.3">
      <c r="A25" s="60"/>
      <c r="B25" s="46" t="s">
        <v>44</v>
      </c>
      <c r="C25" s="47"/>
      <c r="D25" s="48"/>
      <c r="E25" s="61">
        <v>50000</v>
      </c>
      <c r="J25" s="22"/>
      <c r="L25" s="22"/>
    </row>
    <row r="26" spans="1:12" x14ac:dyDescent="0.3">
      <c r="A26" s="60"/>
      <c r="B26" s="46" t="s">
        <v>45</v>
      </c>
      <c r="C26" s="47"/>
      <c r="D26" s="48"/>
      <c r="E26" s="61">
        <v>50000</v>
      </c>
      <c r="I26">
        <f>350/2</f>
        <v>175</v>
      </c>
      <c r="J26" s="22"/>
      <c r="L26" s="22"/>
    </row>
    <row r="27" spans="1:12" x14ac:dyDescent="0.3">
      <c r="A27" s="60"/>
      <c r="B27" s="46" t="s">
        <v>46</v>
      </c>
      <c r="C27" s="47"/>
      <c r="D27" s="48"/>
      <c r="E27" s="61">
        <v>25000</v>
      </c>
      <c r="I27">
        <f>225/2</f>
        <v>112.5</v>
      </c>
      <c r="J27" s="22"/>
      <c r="L27" s="22"/>
    </row>
    <row r="28" spans="1:12" ht="15" thickBot="1" x14ac:dyDescent="0.35">
      <c r="A28" s="62"/>
      <c r="B28" s="68" t="s">
        <v>5</v>
      </c>
      <c r="C28" s="55"/>
      <c r="D28" s="56"/>
      <c r="E28" s="74">
        <f>SUM(E24:E27)</f>
        <v>150000</v>
      </c>
    </row>
    <row r="29" spans="1:12" x14ac:dyDescent="0.3">
      <c r="A29" s="82"/>
      <c r="B29" s="82"/>
      <c r="C29" s="82"/>
      <c r="D29" s="82"/>
      <c r="E29" s="83"/>
    </row>
    <row r="30" spans="1:12" ht="16.2" thickBot="1" x14ac:dyDescent="0.35">
      <c r="A30" s="202" t="s">
        <v>57</v>
      </c>
      <c r="B30" s="202"/>
      <c r="C30" s="85"/>
      <c r="D30" s="85"/>
      <c r="E30" s="86"/>
    </row>
    <row r="31" spans="1:12" x14ac:dyDescent="0.3">
      <c r="A31" s="91">
        <v>25</v>
      </c>
      <c r="B31" s="92" t="s">
        <v>59</v>
      </c>
      <c r="C31" s="93"/>
      <c r="D31" s="93"/>
      <c r="E31" s="94">
        <v>50000</v>
      </c>
    </row>
    <row r="32" spans="1:12" ht="15" thickBot="1" x14ac:dyDescent="0.35">
      <c r="A32" s="95"/>
      <c r="B32" s="97" t="s">
        <v>53</v>
      </c>
      <c r="C32" s="96"/>
      <c r="D32" s="96"/>
      <c r="E32" s="84">
        <f>SUM(E31:E31)</f>
        <v>50000</v>
      </c>
    </row>
    <row r="33" spans="1:12" ht="23.4" customHeight="1" thickBot="1" x14ac:dyDescent="0.35">
      <c r="B33" s="87" t="s">
        <v>58</v>
      </c>
      <c r="C33" s="88"/>
      <c r="D33" s="89"/>
      <c r="E33" s="90">
        <f>E28+E32+E21+E8</f>
        <v>500000</v>
      </c>
      <c r="J33" s="22"/>
      <c r="L33" s="22"/>
    </row>
    <row r="34" spans="1:12" ht="21.6" thickTop="1" x14ac:dyDescent="0.3">
      <c r="A34" s="203" t="s">
        <v>60</v>
      </c>
      <c r="B34" s="203"/>
      <c r="C34" s="203"/>
      <c r="D34" s="203"/>
      <c r="E34" s="203"/>
      <c r="J34" s="22"/>
      <c r="L34" s="22"/>
    </row>
    <row r="35" spans="1:12" ht="28.8" x14ac:dyDescent="0.3">
      <c r="B35" s="80" t="s">
        <v>61</v>
      </c>
      <c r="C35" s="75" t="s">
        <v>62</v>
      </c>
      <c r="D35" s="80" t="s">
        <v>70</v>
      </c>
      <c r="E35" s="81" t="s">
        <v>63</v>
      </c>
      <c r="J35" s="22"/>
      <c r="L35" s="22"/>
    </row>
    <row r="36" spans="1:12" x14ac:dyDescent="0.3">
      <c r="B36" s="46" t="s">
        <v>64</v>
      </c>
      <c r="C36" s="47">
        <v>837500</v>
      </c>
      <c r="D36" s="49">
        <f>400000+150000</f>
        <v>550000</v>
      </c>
      <c r="E36" s="49">
        <f t="shared" ref="E36:E41" si="0">C36-D36</f>
        <v>287500</v>
      </c>
    </row>
    <row r="37" spans="1:12" x14ac:dyDescent="0.3">
      <c r="B37" s="46" t="s">
        <v>65</v>
      </c>
      <c r="C37" s="47">
        <v>1131275</v>
      </c>
      <c r="D37" s="49">
        <f>550000+150000</f>
        <v>700000</v>
      </c>
      <c r="E37" s="49">
        <f t="shared" si="0"/>
        <v>431275</v>
      </c>
    </row>
    <row r="38" spans="1:12" x14ac:dyDescent="0.3">
      <c r="B38" s="46" t="s">
        <v>66</v>
      </c>
      <c r="C38" s="47">
        <v>151800</v>
      </c>
      <c r="D38" s="49">
        <v>100000</v>
      </c>
      <c r="E38" s="49">
        <f t="shared" si="0"/>
        <v>51800</v>
      </c>
    </row>
    <row r="39" spans="1:12" x14ac:dyDescent="0.3">
      <c r="B39" s="46" t="s">
        <v>68</v>
      </c>
      <c r="C39" s="47">
        <v>1025000</v>
      </c>
      <c r="D39" s="49">
        <f>500000+150000</f>
        <v>650000</v>
      </c>
      <c r="E39" s="49">
        <f t="shared" si="0"/>
        <v>375000</v>
      </c>
    </row>
    <row r="40" spans="1:12" x14ac:dyDescent="0.3">
      <c r="B40" s="46" t="s">
        <v>69</v>
      </c>
      <c r="C40" s="47">
        <v>475000</v>
      </c>
      <c r="D40" s="49">
        <f>50000+50000</f>
        <v>100000</v>
      </c>
      <c r="E40" s="49">
        <f t="shared" si="0"/>
        <v>375000</v>
      </c>
    </row>
    <row r="41" spans="1:12" x14ac:dyDescent="0.3">
      <c r="B41" s="46" t="s">
        <v>42</v>
      </c>
      <c r="C41" s="47">
        <v>15000</v>
      </c>
      <c r="D41" s="49">
        <v>0</v>
      </c>
      <c r="E41" s="49">
        <f t="shared" si="0"/>
        <v>15000</v>
      </c>
    </row>
    <row r="42" spans="1:12" ht="15" thickBot="1" x14ac:dyDescent="0.35">
      <c r="B42" s="33" t="s">
        <v>5</v>
      </c>
      <c r="C42" s="34">
        <f>SUM(C36:C41)</f>
        <v>3635575</v>
      </c>
      <c r="D42" s="36">
        <f>SUM(D36:D41)</f>
        <v>2100000</v>
      </c>
      <c r="E42" s="78">
        <f>SUM(E36:E41)</f>
        <v>1535575</v>
      </c>
    </row>
    <row r="43" spans="1:12" ht="14.4" customHeight="1" thickTop="1" x14ac:dyDescent="0.3">
      <c r="A43" s="27" t="s">
        <v>7</v>
      </c>
    </row>
    <row r="44" spans="1:12" ht="28.95" customHeight="1" x14ac:dyDescent="0.3">
      <c r="A44" s="28" t="s">
        <v>8</v>
      </c>
      <c r="B44" s="197" t="s">
        <v>72</v>
      </c>
      <c r="C44" s="197"/>
      <c r="D44" s="197"/>
      <c r="E44" s="197"/>
    </row>
    <row r="45" spans="1:12" x14ac:dyDescent="0.3">
      <c r="I45" s="79"/>
    </row>
    <row r="46" spans="1:12" x14ac:dyDescent="0.3">
      <c r="I46" s="79"/>
    </row>
    <row r="48" spans="1:12" x14ac:dyDescent="0.3">
      <c r="A48" s="2" t="s">
        <v>73</v>
      </c>
      <c r="B48" s="4" t="s">
        <v>74</v>
      </c>
      <c r="E48" s="5" t="s">
        <v>75</v>
      </c>
    </row>
    <row r="49" spans="1:5" x14ac:dyDescent="0.3">
      <c r="A49" s="1" t="s">
        <v>76</v>
      </c>
      <c r="B49" s="30" t="s">
        <v>77</v>
      </c>
      <c r="C49" s="76"/>
      <c r="D49" s="77"/>
      <c r="E49" s="1" t="s">
        <v>78</v>
      </c>
    </row>
  </sheetData>
  <mergeCells count="8">
    <mergeCell ref="A30:B30"/>
    <mergeCell ref="A34:E34"/>
    <mergeCell ref="B44:E44"/>
    <mergeCell ref="D1:E1"/>
    <mergeCell ref="A2:E2"/>
    <mergeCell ref="A5:B5"/>
    <mergeCell ref="A10:B10"/>
    <mergeCell ref="A23:B23"/>
  </mergeCells>
  <pageMargins left="0.70866141732283505" right="0.70866141732283505" top="0" bottom="0.74803149599999996" header="0.31496062992126" footer="0.31496062992126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9"/>
  <sheetViews>
    <sheetView topLeftCell="A22" zoomScaleNormal="100" workbookViewId="0">
      <selection activeCell="H34" sqref="H34"/>
    </sheetView>
  </sheetViews>
  <sheetFormatPr defaultRowHeight="14.4" x14ac:dyDescent="0.3"/>
  <cols>
    <col min="1" max="1" width="11.109375" style="2" customWidth="1"/>
    <col min="2" max="2" width="41.6640625" style="4" bestFit="1" customWidth="1"/>
    <col min="3" max="3" width="16" style="3" customWidth="1"/>
    <col min="4" max="4" width="15.33203125" style="5" customWidth="1"/>
    <col min="5" max="5" width="15" style="5" customWidth="1"/>
  </cols>
  <sheetData>
    <row r="1" spans="1:5" x14ac:dyDescent="0.3">
      <c r="D1" s="199">
        <v>45951</v>
      </c>
      <c r="E1" s="199"/>
    </row>
    <row r="2" spans="1:5" s="1" customFormat="1" ht="22.2" customHeight="1" thickBot="1" x14ac:dyDescent="0.35">
      <c r="A2" s="195" t="s">
        <v>71</v>
      </c>
      <c r="B2" s="195"/>
      <c r="C2" s="195"/>
      <c r="D2" s="195"/>
      <c r="E2" s="195"/>
    </row>
    <row r="3" spans="1:5" s="7" customFormat="1" ht="28.5" customHeight="1" x14ac:dyDescent="0.3">
      <c r="A3" s="63" t="s">
        <v>4</v>
      </c>
      <c r="B3" s="64" t="s">
        <v>0</v>
      </c>
      <c r="C3" s="65" t="s">
        <v>3</v>
      </c>
      <c r="D3" s="66" t="s">
        <v>1</v>
      </c>
      <c r="E3" s="67" t="s">
        <v>2</v>
      </c>
    </row>
    <row r="4" spans="1:5" s="7" customFormat="1" ht="6.45" customHeight="1" x14ac:dyDescent="0.3">
      <c r="A4" s="58"/>
      <c r="B4" s="20"/>
      <c r="C4" s="57"/>
      <c r="E4" s="59"/>
    </row>
    <row r="5" spans="1:5" s="7" customFormat="1" ht="15.6" x14ac:dyDescent="0.3">
      <c r="A5" s="200" t="s">
        <v>54</v>
      </c>
      <c r="B5" s="201"/>
      <c r="C5" s="57"/>
      <c r="E5" s="59"/>
    </row>
    <row r="6" spans="1:5" x14ac:dyDescent="0.3">
      <c r="A6" s="60">
        <v>1</v>
      </c>
      <c r="B6" s="46" t="s">
        <v>20</v>
      </c>
      <c r="C6" s="47"/>
      <c r="D6" s="48"/>
      <c r="E6" s="61">
        <v>125000</v>
      </c>
    </row>
    <row r="7" spans="1:5" x14ac:dyDescent="0.3">
      <c r="A7" s="60">
        <v>2</v>
      </c>
      <c r="B7" s="46" t="s">
        <v>21</v>
      </c>
      <c r="C7" s="47"/>
      <c r="D7" s="48"/>
      <c r="E7" s="61">
        <v>25000</v>
      </c>
    </row>
    <row r="8" spans="1:5" ht="15" thickBot="1" x14ac:dyDescent="0.35">
      <c r="A8" s="62"/>
      <c r="B8" s="68" t="s">
        <v>53</v>
      </c>
      <c r="C8" s="55"/>
      <c r="D8" s="56"/>
      <c r="E8" s="74">
        <f>SUM(E6:E7)</f>
        <v>150000</v>
      </c>
    </row>
    <row r="9" spans="1:5" x14ac:dyDescent="0.3">
      <c r="C9" s="31"/>
      <c r="E9" s="32"/>
    </row>
    <row r="10" spans="1:5" s="7" customFormat="1" ht="16.2" thickBot="1" x14ac:dyDescent="0.35">
      <c r="A10" s="202" t="s">
        <v>55</v>
      </c>
      <c r="B10" s="202"/>
      <c r="C10" s="57"/>
    </row>
    <row r="11" spans="1:5" x14ac:dyDescent="0.3">
      <c r="A11" s="69">
        <v>3</v>
      </c>
      <c r="B11" s="70" t="s">
        <v>22</v>
      </c>
      <c r="C11" s="71"/>
      <c r="D11" s="72"/>
      <c r="E11" s="73">
        <v>50000</v>
      </c>
    </row>
    <row r="12" spans="1:5" x14ac:dyDescent="0.3">
      <c r="A12" s="60">
        <v>4</v>
      </c>
      <c r="B12" s="46" t="s">
        <v>23</v>
      </c>
      <c r="C12" s="47"/>
      <c r="D12" s="48"/>
      <c r="E12" s="61">
        <v>20000</v>
      </c>
    </row>
    <row r="13" spans="1:5" x14ac:dyDescent="0.3">
      <c r="A13" s="60">
        <v>5</v>
      </c>
      <c r="B13" s="46" t="s">
        <v>24</v>
      </c>
      <c r="C13" s="47"/>
      <c r="D13" s="48"/>
      <c r="E13" s="61">
        <v>10000</v>
      </c>
    </row>
    <row r="14" spans="1:5" x14ac:dyDescent="0.3">
      <c r="A14" s="60">
        <v>6</v>
      </c>
      <c r="B14" s="46" t="s">
        <v>25</v>
      </c>
      <c r="C14" s="47"/>
      <c r="D14" s="48"/>
      <c r="E14" s="61">
        <v>6000</v>
      </c>
    </row>
    <row r="15" spans="1:5" x14ac:dyDescent="0.3">
      <c r="A15" s="60">
        <v>7</v>
      </c>
      <c r="B15" s="46" t="s">
        <v>26</v>
      </c>
      <c r="C15" s="47"/>
      <c r="D15" s="48"/>
      <c r="E15" s="61">
        <v>10000</v>
      </c>
    </row>
    <row r="16" spans="1:5" x14ac:dyDescent="0.3">
      <c r="A16" s="60">
        <v>8</v>
      </c>
      <c r="B16" s="46" t="s">
        <v>27</v>
      </c>
      <c r="C16" s="47"/>
      <c r="D16" s="48"/>
      <c r="E16" s="61">
        <v>10000</v>
      </c>
    </row>
    <row r="17" spans="1:12" x14ac:dyDescent="0.3">
      <c r="A17" s="60">
        <v>9</v>
      </c>
      <c r="B17" s="46" t="s">
        <v>28</v>
      </c>
      <c r="C17" s="47"/>
      <c r="D17" s="48"/>
      <c r="E17" s="61">
        <v>5000</v>
      </c>
    </row>
    <row r="18" spans="1:12" x14ac:dyDescent="0.3">
      <c r="A18" s="60">
        <v>10</v>
      </c>
      <c r="B18" s="46" t="s">
        <v>29</v>
      </c>
      <c r="C18" s="47"/>
      <c r="D18" s="48"/>
      <c r="E18" s="61">
        <v>10000</v>
      </c>
    </row>
    <row r="19" spans="1:12" x14ac:dyDescent="0.3">
      <c r="A19" s="60">
        <v>11</v>
      </c>
      <c r="B19" s="46" t="s">
        <v>30</v>
      </c>
      <c r="C19" s="47"/>
      <c r="D19" s="48"/>
      <c r="E19" s="61">
        <v>20000</v>
      </c>
    </row>
    <row r="20" spans="1:12" x14ac:dyDescent="0.3">
      <c r="A20" s="60">
        <v>12</v>
      </c>
      <c r="B20" s="46" t="s">
        <v>31</v>
      </c>
      <c r="C20" s="47"/>
      <c r="D20" s="48"/>
      <c r="E20" s="61">
        <v>9000</v>
      </c>
    </row>
    <row r="21" spans="1:12" ht="15" thickBot="1" x14ac:dyDescent="0.35">
      <c r="A21" s="62"/>
      <c r="B21" s="68" t="s">
        <v>53</v>
      </c>
      <c r="C21" s="55"/>
      <c r="D21" s="56"/>
      <c r="E21" s="74">
        <f>SUM(E11:E20)</f>
        <v>150000</v>
      </c>
    </row>
    <row r="22" spans="1:12" x14ac:dyDescent="0.3">
      <c r="B22" s="30"/>
      <c r="C22" s="31"/>
      <c r="E22" s="54"/>
    </row>
    <row r="23" spans="1:12" ht="16.2" thickBot="1" x14ac:dyDescent="0.35">
      <c r="A23" s="202" t="s">
        <v>79</v>
      </c>
      <c r="B23" s="202"/>
      <c r="C23" s="31"/>
      <c r="E23" s="32"/>
      <c r="J23" s="22"/>
      <c r="L23" s="22"/>
    </row>
    <row r="24" spans="1:12" x14ac:dyDescent="0.3">
      <c r="A24" s="69">
        <v>24</v>
      </c>
      <c r="B24" s="70" t="s">
        <v>43</v>
      </c>
      <c r="C24" s="71"/>
      <c r="D24" s="72"/>
      <c r="E24" s="73">
        <v>25000</v>
      </c>
      <c r="J24" s="22"/>
      <c r="L24" s="22"/>
    </row>
    <row r="25" spans="1:12" x14ac:dyDescent="0.3">
      <c r="A25" s="60"/>
      <c r="B25" s="46" t="s">
        <v>44</v>
      </c>
      <c r="C25" s="47"/>
      <c r="D25" s="48"/>
      <c r="E25" s="61">
        <v>50000</v>
      </c>
      <c r="J25" s="22"/>
      <c r="L25" s="22"/>
    </row>
    <row r="26" spans="1:12" x14ac:dyDescent="0.3">
      <c r="A26" s="60"/>
      <c r="B26" s="46" t="s">
        <v>45</v>
      </c>
      <c r="C26" s="47"/>
      <c r="D26" s="48"/>
      <c r="E26" s="61">
        <v>50000</v>
      </c>
      <c r="I26">
        <f>350/2</f>
        <v>175</v>
      </c>
      <c r="J26" s="22"/>
      <c r="L26" s="22"/>
    </row>
    <row r="27" spans="1:12" x14ac:dyDescent="0.3">
      <c r="A27" s="60"/>
      <c r="B27" s="46" t="s">
        <v>46</v>
      </c>
      <c r="C27" s="47"/>
      <c r="D27" s="48"/>
      <c r="E27" s="61">
        <v>25000</v>
      </c>
      <c r="I27">
        <f>225/2</f>
        <v>112.5</v>
      </c>
      <c r="J27" s="22"/>
      <c r="L27" s="22"/>
    </row>
    <row r="28" spans="1:12" ht="15" thickBot="1" x14ac:dyDescent="0.35">
      <c r="A28" s="62"/>
      <c r="B28" s="68" t="s">
        <v>5</v>
      </c>
      <c r="C28" s="55"/>
      <c r="D28" s="56"/>
      <c r="E28" s="74">
        <f>SUM(E24:E27)</f>
        <v>150000</v>
      </c>
    </row>
    <row r="29" spans="1:12" x14ac:dyDescent="0.3">
      <c r="A29" s="82"/>
      <c r="B29" s="82"/>
      <c r="C29" s="82"/>
      <c r="D29" s="82"/>
      <c r="E29" s="83"/>
    </row>
    <row r="30" spans="1:12" ht="16.2" thickBot="1" x14ac:dyDescent="0.35">
      <c r="A30" s="202" t="s">
        <v>57</v>
      </c>
      <c r="B30" s="202"/>
      <c r="C30" s="85"/>
      <c r="D30" s="85"/>
      <c r="E30" s="86"/>
    </row>
    <row r="31" spans="1:12" x14ac:dyDescent="0.3">
      <c r="A31" s="91">
        <v>25</v>
      </c>
      <c r="B31" s="92" t="s">
        <v>59</v>
      </c>
      <c r="C31" s="93"/>
      <c r="D31" s="93"/>
      <c r="E31" s="94">
        <v>50000</v>
      </c>
    </row>
    <row r="32" spans="1:12" ht="15" thickBot="1" x14ac:dyDescent="0.35">
      <c r="A32" s="95"/>
      <c r="B32" s="97" t="s">
        <v>53</v>
      </c>
      <c r="C32" s="96"/>
      <c r="D32" s="96"/>
      <c r="E32" s="84">
        <f>SUM(E31:E31)</f>
        <v>50000</v>
      </c>
    </row>
    <row r="33" spans="1:12" ht="23.4" customHeight="1" thickBot="1" x14ac:dyDescent="0.35">
      <c r="B33" s="87" t="s">
        <v>58</v>
      </c>
      <c r="C33" s="88"/>
      <c r="D33" s="89"/>
      <c r="E33" s="90">
        <f>E28+E32+E21+E8</f>
        <v>500000</v>
      </c>
      <c r="J33" s="22"/>
      <c r="L33" s="22"/>
    </row>
    <row r="34" spans="1:12" ht="21.6" thickTop="1" x14ac:dyDescent="0.3">
      <c r="A34" s="203" t="s">
        <v>60</v>
      </c>
      <c r="B34" s="203"/>
      <c r="C34" s="203"/>
      <c r="D34" s="203"/>
      <c r="E34" s="203"/>
      <c r="J34" s="22"/>
      <c r="L34" s="22"/>
    </row>
    <row r="35" spans="1:12" ht="28.8" x14ac:dyDescent="0.3">
      <c r="B35" s="80" t="s">
        <v>61</v>
      </c>
      <c r="C35" s="75" t="s">
        <v>62</v>
      </c>
      <c r="D35" s="80" t="s">
        <v>70</v>
      </c>
      <c r="E35" s="81" t="s">
        <v>63</v>
      </c>
      <c r="J35" s="22"/>
      <c r="L35" s="22"/>
    </row>
    <row r="36" spans="1:12" x14ac:dyDescent="0.3">
      <c r="B36" s="46" t="s">
        <v>64</v>
      </c>
      <c r="C36" s="47">
        <v>837500</v>
      </c>
      <c r="D36" s="49">
        <f>400000+150000+150000</f>
        <v>700000</v>
      </c>
      <c r="E36" s="49">
        <f t="shared" ref="E36:E41" si="0">C36-D36</f>
        <v>137500</v>
      </c>
    </row>
    <row r="37" spans="1:12" x14ac:dyDescent="0.3">
      <c r="B37" s="46" t="s">
        <v>65</v>
      </c>
      <c r="C37" s="47">
        <v>1131275</v>
      </c>
      <c r="D37" s="49">
        <f>550000+150000+150000</f>
        <v>850000</v>
      </c>
      <c r="E37" s="49">
        <f t="shared" si="0"/>
        <v>281275</v>
      </c>
    </row>
    <row r="38" spans="1:12" x14ac:dyDescent="0.3">
      <c r="B38" s="46" t="s">
        <v>66</v>
      </c>
      <c r="C38" s="47">
        <v>151800</v>
      </c>
      <c r="D38" s="49">
        <v>100000</v>
      </c>
      <c r="E38" s="49">
        <f t="shared" si="0"/>
        <v>51800</v>
      </c>
    </row>
    <row r="39" spans="1:12" x14ac:dyDescent="0.3">
      <c r="B39" s="46" t="s">
        <v>68</v>
      </c>
      <c r="C39" s="47">
        <v>1025000</v>
      </c>
      <c r="D39" s="49">
        <f>500000+150000+150000</f>
        <v>800000</v>
      </c>
      <c r="E39" s="49">
        <f t="shared" si="0"/>
        <v>225000</v>
      </c>
    </row>
    <row r="40" spans="1:12" x14ac:dyDescent="0.3">
      <c r="B40" s="46" t="s">
        <v>69</v>
      </c>
      <c r="C40" s="47">
        <v>475000</v>
      </c>
      <c r="D40" s="49">
        <f>50000+50000+50000</f>
        <v>150000</v>
      </c>
      <c r="E40" s="49">
        <f t="shared" si="0"/>
        <v>325000</v>
      </c>
    </row>
    <row r="41" spans="1:12" x14ac:dyDescent="0.3">
      <c r="B41" s="46" t="s">
        <v>42</v>
      </c>
      <c r="C41" s="47">
        <v>15000</v>
      </c>
      <c r="D41" s="49">
        <v>0</v>
      </c>
      <c r="E41" s="49">
        <f t="shared" si="0"/>
        <v>15000</v>
      </c>
    </row>
    <row r="42" spans="1:12" ht="15" thickBot="1" x14ac:dyDescent="0.35">
      <c r="B42" s="33" t="s">
        <v>5</v>
      </c>
      <c r="C42" s="34">
        <f>SUM(C36:C41)</f>
        <v>3635575</v>
      </c>
      <c r="D42" s="36">
        <f>SUM(D36:D41)</f>
        <v>2600000</v>
      </c>
      <c r="E42" s="78">
        <f>SUM(E36:E41)</f>
        <v>1035575</v>
      </c>
    </row>
    <row r="43" spans="1:12" ht="14.4" customHeight="1" thickTop="1" x14ac:dyDescent="0.3">
      <c r="A43" s="27" t="s">
        <v>7</v>
      </c>
    </row>
    <row r="44" spans="1:12" ht="28.95" customHeight="1" x14ac:dyDescent="0.3">
      <c r="A44" s="28" t="s">
        <v>8</v>
      </c>
      <c r="B44" s="197" t="s">
        <v>72</v>
      </c>
      <c r="C44" s="197"/>
      <c r="D44" s="197"/>
      <c r="E44" s="197"/>
    </row>
    <row r="45" spans="1:12" x14ac:dyDescent="0.3">
      <c r="I45" s="79"/>
    </row>
    <row r="46" spans="1:12" x14ac:dyDescent="0.3">
      <c r="I46" s="79"/>
    </row>
    <row r="48" spans="1:12" x14ac:dyDescent="0.3">
      <c r="A48" s="2" t="s">
        <v>73</v>
      </c>
      <c r="B48" s="4" t="s">
        <v>74</v>
      </c>
      <c r="E48" s="5" t="s">
        <v>75</v>
      </c>
    </row>
    <row r="49" spans="1:5" x14ac:dyDescent="0.3">
      <c r="A49" s="1" t="s">
        <v>76</v>
      </c>
      <c r="B49" s="30" t="s">
        <v>77</v>
      </c>
      <c r="C49" s="76"/>
      <c r="D49" s="77"/>
      <c r="E49" s="1" t="s">
        <v>78</v>
      </c>
    </row>
  </sheetData>
  <mergeCells count="8">
    <mergeCell ref="A34:E34"/>
    <mergeCell ref="B44:E44"/>
    <mergeCell ref="D1:E1"/>
    <mergeCell ref="A2:E2"/>
    <mergeCell ref="A5:B5"/>
    <mergeCell ref="A10:B10"/>
    <mergeCell ref="A23:B23"/>
    <mergeCell ref="A30:B30"/>
  </mergeCells>
  <pageMargins left="0.70866141732283505" right="0.70866141732283505" top="0" bottom="0.74803149599999996" header="0.31496062992126" footer="0.31496062992126"/>
  <pageSetup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0"/>
  <sheetViews>
    <sheetView zoomScaleNormal="100" workbookViewId="0">
      <selection activeCell="E52" sqref="E52"/>
    </sheetView>
  </sheetViews>
  <sheetFormatPr defaultRowHeight="14.4" x14ac:dyDescent="0.3"/>
  <cols>
    <col min="1" max="1" width="11.109375" style="2" customWidth="1"/>
    <col min="2" max="2" width="41.6640625" style="4" bestFit="1" customWidth="1"/>
    <col min="3" max="3" width="16" style="3" customWidth="1"/>
    <col min="4" max="4" width="15.33203125" style="5" customWidth="1"/>
    <col min="5" max="5" width="15" style="5" customWidth="1"/>
  </cols>
  <sheetData>
    <row r="1" spans="1:5" x14ac:dyDescent="0.3">
      <c r="D1" s="199">
        <v>45955</v>
      </c>
      <c r="E1" s="199"/>
    </row>
    <row r="2" spans="1:5" s="1" customFormat="1" ht="22.2" customHeight="1" thickBot="1" x14ac:dyDescent="0.35">
      <c r="A2" s="195" t="s">
        <v>71</v>
      </c>
      <c r="B2" s="195"/>
      <c r="C2" s="195"/>
      <c r="D2" s="195"/>
      <c r="E2" s="195"/>
    </row>
    <row r="3" spans="1:5" s="7" customFormat="1" ht="28.5" customHeight="1" x14ac:dyDescent="0.3">
      <c r="A3" s="63" t="s">
        <v>4</v>
      </c>
      <c r="B3" s="64" t="s">
        <v>0</v>
      </c>
      <c r="C3" s="65" t="s">
        <v>3</v>
      </c>
      <c r="D3" s="66" t="s">
        <v>1</v>
      </c>
      <c r="E3" s="67" t="s">
        <v>2</v>
      </c>
    </row>
    <row r="4" spans="1:5" s="7" customFormat="1" ht="6.45" customHeight="1" x14ac:dyDescent="0.3">
      <c r="A4" s="58"/>
      <c r="B4" s="20"/>
      <c r="C4" s="57"/>
      <c r="E4" s="59"/>
    </row>
    <row r="5" spans="1:5" s="7" customFormat="1" ht="15.6" x14ac:dyDescent="0.3">
      <c r="A5" s="200" t="s">
        <v>54</v>
      </c>
      <c r="B5" s="201"/>
      <c r="C5" s="57"/>
      <c r="E5" s="59"/>
    </row>
    <row r="6" spans="1:5" x14ac:dyDescent="0.3">
      <c r="A6" s="60">
        <v>1</v>
      </c>
      <c r="B6" s="46" t="s">
        <v>20</v>
      </c>
      <c r="C6" s="47"/>
      <c r="D6" s="48"/>
      <c r="E6" s="61">
        <v>50000</v>
      </c>
    </row>
    <row r="7" spans="1:5" x14ac:dyDescent="0.3">
      <c r="A7" s="60">
        <v>2</v>
      </c>
      <c r="B7" s="46" t="s">
        <v>21</v>
      </c>
      <c r="C7" s="47"/>
      <c r="D7" s="48"/>
      <c r="E7" s="61">
        <v>15000</v>
      </c>
    </row>
    <row r="8" spans="1:5" ht="15" thickBot="1" x14ac:dyDescent="0.35">
      <c r="A8" s="62"/>
      <c r="B8" s="68" t="s">
        <v>53</v>
      </c>
      <c r="C8" s="55"/>
      <c r="D8" s="56"/>
      <c r="E8" s="74">
        <f>SUM(E6:E7)</f>
        <v>65000</v>
      </c>
    </row>
    <row r="9" spans="1:5" x14ac:dyDescent="0.3">
      <c r="C9" s="31"/>
      <c r="E9" s="32"/>
    </row>
    <row r="10" spans="1:5" s="7" customFormat="1" ht="16.2" thickBot="1" x14ac:dyDescent="0.35">
      <c r="A10" s="202" t="s">
        <v>55</v>
      </c>
      <c r="B10" s="202"/>
      <c r="C10" s="57"/>
    </row>
    <row r="11" spans="1:5" x14ac:dyDescent="0.3">
      <c r="A11" s="69">
        <v>3</v>
      </c>
      <c r="B11" s="70" t="s">
        <v>22</v>
      </c>
      <c r="C11" s="71"/>
      <c r="D11" s="72"/>
      <c r="E11" s="73">
        <v>40000</v>
      </c>
    </row>
    <row r="12" spans="1:5" x14ac:dyDescent="0.3">
      <c r="A12" s="60">
        <v>4</v>
      </c>
      <c r="B12" s="46" t="s">
        <v>23</v>
      </c>
      <c r="C12" s="47"/>
      <c r="D12" s="48"/>
      <c r="E12" s="61">
        <v>10000</v>
      </c>
    </row>
    <row r="13" spans="1:5" x14ac:dyDescent="0.3">
      <c r="A13" s="60">
        <v>5</v>
      </c>
      <c r="B13" s="46" t="s">
        <v>24</v>
      </c>
      <c r="C13" s="47"/>
      <c r="D13" s="48"/>
      <c r="E13" s="61">
        <v>10000</v>
      </c>
    </row>
    <row r="14" spans="1:5" x14ac:dyDescent="0.3">
      <c r="A14" s="60">
        <v>6</v>
      </c>
      <c r="B14" s="46" t="s">
        <v>25</v>
      </c>
      <c r="C14" s="47"/>
      <c r="D14" s="48"/>
      <c r="E14" s="61">
        <v>6000</v>
      </c>
    </row>
    <row r="15" spans="1:5" x14ac:dyDescent="0.3">
      <c r="A15" s="60">
        <v>7</v>
      </c>
      <c r="B15" s="46" t="s">
        <v>26</v>
      </c>
      <c r="C15" s="47"/>
      <c r="D15" s="48"/>
      <c r="E15" s="61">
        <v>5000</v>
      </c>
    </row>
    <row r="16" spans="1:5" x14ac:dyDescent="0.3">
      <c r="A16" s="60">
        <v>8</v>
      </c>
      <c r="B16" s="46" t="s">
        <v>27</v>
      </c>
      <c r="C16" s="47"/>
      <c r="D16" s="48"/>
      <c r="E16" s="61">
        <v>10000</v>
      </c>
    </row>
    <row r="17" spans="1:7" x14ac:dyDescent="0.3">
      <c r="A17" s="60">
        <v>9</v>
      </c>
      <c r="B17" s="46" t="s">
        <v>28</v>
      </c>
      <c r="C17" s="47"/>
      <c r="D17" s="48"/>
      <c r="E17" s="61">
        <v>5000</v>
      </c>
    </row>
    <row r="18" spans="1:7" x14ac:dyDescent="0.3">
      <c r="A18" s="60">
        <v>10</v>
      </c>
      <c r="B18" s="46" t="s">
        <v>29</v>
      </c>
      <c r="C18" s="47"/>
      <c r="D18" s="48"/>
      <c r="E18" s="61">
        <v>10000</v>
      </c>
    </row>
    <row r="19" spans="1:7" x14ac:dyDescent="0.3">
      <c r="A19" s="60">
        <v>11</v>
      </c>
      <c r="B19" s="46" t="s">
        <v>30</v>
      </c>
      <c r="C19" s="47"/>
      <c r="D19" s="48"/>
      <c r="E19" s="61">
        <v>10000</v>
      </c>
    </row>
    <row r="20" spans="1:7" x14ac:dyDescent="0.3">
      <c r="A20" s="60">
        <v>12</v>
      </c>
      <c r="B20" s="46" t="s">
        <v>31</v>
      </c>
      <c r="C20" s="47"/>
      <c r="D20" s="48"/>
      <c r="E20" s="61">
        <v>9000</v>
      </c>
    </row>
    <row r="21" spans="1:7" ht="15" thickBot="1" x14ac:dyDescent="0.35">
      <c r="A21" s="62"/>
      <c r="B21" s="68" t="s">
        <v>53</v>
      </c>
      <c r="C21" s="55"/>
      <c r="D21" s="56"/>
      <c r="E21" s="74">
        <f>SUM(E11:E20)</f>
        <v>115000</v>
      </c>
    </row>
    <row r="22" spans="1:7" x14ac:dyDescent="0.3">
      <c r="B22" s="30"/>
      <c r="C22" s="31"/>
      <c r="E22" s="54"/>
    </row>
    <row r="23" spans="1:7" s="7" customFormat="1" ht="16.2" thickBot="1" x14ac:dyDescent="0.35">
      <c r="A23" s="202" t="s">
        <v>56</v>
      </c>
      <c r="B23" s="202"/>
      <c r="C23" s="57"/>
    </row>
    <row r="24" spans="1:7" x14ac:dyDescent="0.3">
      <c r="A24" s="69">
        <v>13</v>
      </c>
      <c r="B24" s="70" t="s">
        <v>32</v>
      </c>
      <c r="C24" s="71"/>
      <c r="D24" s="72"/>
      <c r="E24" s="73">
        <v>2725</v>
      </c>
    </row>
    <row r="25" spans="1:7" x14ac:dyDescent="0.3">
      <c r="A25" s="60">
        <v>14</v>
      </c>
      <c r="B25" s="46" t="s">
        <v>33</v>
      </c>
      <c r="C25" s="47"/>
      <c r="D25" s="48"/>
      <c r="E25" s="61">
        <v>5055</v>
      </c>
    </row>
    <row r="26" spans="1:7" x14ac:dyDescent="0.3">
      <c r="A26" s="60">
        <v>15</v>
      </c>
      <c r="B26" s="46" t="s">
        <v>34</v>
      </c>
      <c r="C26" s="47"/>
      <c r="D26" s="48"/>
      <c r="E26" s="61">
        <v>2815</v>
      </c>
    </row>
    <row r="27" spans="1:7" x14ac:dyDescent="0.3">
      <c r="A27" s="60">
        <v>16</v>
      </c>
      <c r="B27" s="46" t="s">
        <v>35</v>
      </c>
      <c r="C27" s="47"/>
      <c r="D27" s="48"/>
      <c r="E27" s="61">
        <v>3000</v>
      </c>
    </row>
    <row r="28" spans="1:7" x14ac:dyDescent="0.3">
      <c r="A28" s="60">
        <v>17</v>
      </c>
      <c r="B28" s="46" t="s">
        <v>36</v>
      </c>
      <c r="C28" s="47"/>
      <c r="D28" s="48"/>
      <c r="E28" s="61">
        <v>4000</v>
      </c>
    </row>
    <row r="29" spans="1:7" x14ac:dyDescent="0.3">
      <c r="A29" s="60">
        <v>18</v>
      </c>
      <c r="B29" s="46" t="s">
        <v>37</v>
      </c>
      <c r="C29" s="47"/>
      <c r="D29" s="48"/>
      <c r="E29" s="61">
        <v>690</v>
      </c>
      <c r="G29">
        <f>5915-5225</f>
        <v>690</v>
      </c>
    </row>
    <row r="30" spans="1:7" x14ac:dyDescent="0.3">
      <c r="A30" s="60">
        <v>19</v>
      </c>
      <c r="B30" s="46" t="s">
        <v>39</v>
      </c>
      <c r="C30" s="47"/>
      <c r="D30" s="48"/>
      <c r="E30" s="61">
        <v>1715</v>
      </c>
      <c r="G30">
        <f>20000-18285</f>
        <v>1715</v>
      </c>
    </row>
    <row r="31" spans="1:7" ht="15" thickBot="1" x14ac:dyDescent="0.35">
      <c r="A31" s="62"/>
      <c r="B31" s="68" t="s">
        <v>5</v>
      </c>
      <c r="C31" s="55"/>
      <c r="D31" s="56"/>
      <c r="E31" s="74">
        <f>SUM(E24:E30)</f>
        <v>20000</v>
      </c>
    </row>
    <row r="32" spans="1:7" x14ac:dyDescent="0.3">
      <c r="B32" s="30"/>
      <c r="C32" s="31"/>
      <c r="E32" s="54"/>
    </row>
    <row r="33" spans="1:12" ht="16.2" thickBot="1" x14ac:dyDescent="0.35">
      <c r="A33" s="202" t="s">
        <v>79</v>
      </c>
      <c r="B33" s="202"/>
      <c r="C33" s="31"/>
      <c r="E33" s="32"/>
      <c r="J33" s="22"/>
      <c r="L33" s="22"/>
    </row>
    <row r="34" spans="1:12" x14ac:dyDescent="0.3">
      <c r="A34" s="69">
        <v>24</v>
      </c>
      <c r="B34" s="70" t="s">
        <v>43</v>
      </c>
      <c r="C34" s="71"/>
      <c r="D34" s="72"/>
      <c r="E34" s="73">
        <v>25000</v>
      </c>
      <c r="J34" s="22"/>
      <c r="L34" s="22"/>
    </row>
    <row r="35" spans="1:12" x14ac:dyDescent="0.3">
      <c r="A35" s="60"/>
      <c r="B35" s="46" t="s">
        <v>44</v>
      </c>
      <c r="C35" s="47"/>
      <c r="D35" s="48"/>
      <c r="E35" s="61">
        <v>50000</v>
      </c>
      <c r="J35" s="22"/>
      <c r="L35" s="22"/>
    </row>
    <row r="36" spans="1:12" x14ac:dyDescent="0.3">
      <c r="A36" s="60"/>
      <c r="B36" s="46" t="s">
        <v>45</v>
      </c>
      <c r="C36" s="47"/>
      <c r="D36" s="48"/>
      <c r="E36" s="61">
        <v>50000</v>
      </c>
      <c r="I36">
        <f>350/2</f>
        <v>175</v>
      </c>
      <c r="J36" s="22"/>
      <c r="L36" s="22"/>
    </row>
    <row r="37" spans="1:12" x14ac:dyDescent="0.3">
      <c r="A37" s="60"/>
      <c r="B37" s="46" t="s">
        <v>46</v>
      </c>
      <c r="C37" s="47"/>
      <c r="D37" s="48"/>
      <c r="E37" s="61">
        <v>25000</v>
      </c>
      <c r="I37">
        <f>225/2</f>
        <v>112.5</v>
      </c>
      <c r="J37" s="22"/>
      <c r="L37" s="22"/>
    </row>
    <row r="38" spans="1:12" ht="15" thickBot="1" x14ac:dyDescent="0.35">
      <c r="A38" s="62"/>
      <c r="B38" s="68" t="s">
        <v>5</v>
      </c>
      <c r="C38" s="55"/>
      <c r="D38" s="56"/>
      <c r="E38" s="74">
        <f>SUM(E34:E37)</f>
        <v>150000</v>
      </c>
    </row>
    <row r="39" spans="1:12" x14ac:dyDescent="0.3">
      <c r="A39" s="82"/>
      <c r="B39" s="82"/>
      <c r="C39" s="82"/>
      <c r="D39" s="82"/>
      <c r="E39" s="83"/>
    </row>
    <row r="40" spans="1:12" ht="16.2" thickBot="1" x14ac:dyDescent="0.35">
      <c r="A40" s="202" t="s">
        <v>57</v>
      </c>
      <c r="B40" s="202"/>
      <c r="C40" s="85"/>
      <c r="D40" s="85"/>
      <c r="E40" s="86"/>
    </row>
    <row r="41" spans="1:12" x14ac:dyDescent="0.3">
      <c r="A41" s="91">
        <v>25</v>
      </c>
      <c r="B41" s="92" t="s">
        <v>59</v>
      </c>
      <c r="C41" s="93"/>
      <c r="D41" s="93"/>
      <c r="E41" s="94">
        <v>50000</v>
      </c>
      <c r="J41">
        <f>1133/31.96</f>
        <v>35.450563204005007</v>
      </c>
    </row>
    <row r="42" spans="1:12" ht="15" thickBot="1" x14ac:dyDescent="0.35">
      <c r="A42" s="95"/>
      <c r="B42" s="97" t="s">
        <v>53</v>
      </c>
      <c r="C42" s="96"/>
      <c r="D42" s="96"/>
      <c r="E42" s="84">
        <f>SUM(E41:E41)</f>
        <v>50000</v>
      </c>
    </row>
    <row r="43" spans="1:12" ht="23.4" customHeight="1" thickBot="1" x14ac:dyDescent="0.35">
      <c r="B43" s="87" t="s">
        <v>58</v>
      </c>
      <c r="C43" s="88"/>
      <c r="D43" s="89"/>
      <c r="E43" s="90">
        <f>E38+E42+E21+E8+E31</f>
        <v>400000</v>
      </c>
      <c r="J43" s="22"/>
      <c r="L43" s="22"/>
    </row>
    <row r="44" spans="1:12" ht="21.6" thickTop="1" x14ac:dyDescent="0.3">
      <c r="A44" s="203" t="s">
        <v>60</v>
      </c>
      <c r="B44" s="203"/>
      <c r="C44" s="203"/>
      <c r="D44" s="203"/>
      <c r="E44" s="203"/>
      <c r="J44" s="22"/>
      <c r="L44" s="22"/>
    </row>
    <row r="45" spans="1:12" ht="28.8" x14ac:dyDescent="0.3">
      <c r="B45" s="80" t="s">
        <v>61</v>
      </c>
      <c r="C45" s="75" t="s">
        <v>62</v>
      </c>
      <c r="D45" s="80" t="s">
        <v>70</v>
      </c>
      <c r="E45" s="81" t="s">
        <v>63</v>
      </c>
      <c r="J45" s="22"/>
      <c r="L45" s="22"/>
    </row>
    <row r="46" spans="1:12" x14ac:dyDescent="0.3">
      <c r="B46" s="46" t="s">
        <v>64</v>
      </c>
      <c r="C46" s="47">
        <v>837500</v>
      </c>
      <c r="D46" s="49">
        <f>400000+150000+150000+65000</f>
        <v>765000</v>
      </c>
      <c r="E46" s="49">
        <f>C46-D46</f>
        <v>72500</v>
      </c>
    </row>
    <row r="47" spans="1:12" x14ac:dyDescent="0.3">
      <c r="B47" s="46" t="s">
        <v>65</v>
      </c>
      <c r="C47" s="47">
        <v>1131275</v>
      </c>
      <c r="D47" s="49">
        <f>550000+150000+150000+115000</f>
        <v>965000</v>
      </c>
      <c r="E47" s="49">
        <f t="shared" ref="E47:E50" si="0">C47-D47</f>
        <v>166275</v>
      </c>
    </row>
    <row r="48" spans="1:12" x14ac:dyDescent="0.3">
      <c r="B48" s="46" t="s">
        <v>66</v>
      </c>
      <c r="C48" s="47">
        <v>151800</v>
      </c>
      <c r="D48" s="49">
        <f>100000+20000</f>
        <v>120000</v>
      </c>
      <c r="E48" s="49">
        <f t="shared" si="0"/>
        <v>31800</v>
      </c>
    </row>
    <row r="49" spans="1:9" x14ac:dyDescent="0.3">
      <c r="B49" s="46" t="s">
        <v>68</v>
      </c>
      <c r="C49" s="47">
        <v>1025000</v>
      </c>
      <c r="D49" s="49">
        <f>500000+150000+150000+150000</f>
        <v>950000</v>
      </c>
      <c r="E49" s="49">
        <f t="shared" si="0"/>
        <v>75000</v>
      </c>
    </row>
    <row r="50" spans="1:9" x14ac:dyDescent="0.3">
      <c r="B50" s="46" t="s">
        <v>69</v>
      </c>
      <c r="C50" s="47">
        <v>475000</v>
      </c>
      <c r="D50" s="49">
        <f>50000+50000+50000+50000</f>
        <v>200000</v>
      </c>
      <c r="E50" s="49">
        <f t="shared" si="0"/>
        <v>275000</v>
      </c>
    </row>
    <row r="51" spans="1:9" x14ac:dyDescent="0.3">
      <c r="B51" s="46" t="s">
        <v>42</v>
      </c>
      <c r="C51" s="47">
        <v>15000</v>
      </c>
      <c r="D51" s="49">
        <v>0</v>
      </c>
      <c r="E51" s="49">
        <f>C51-D51</f>
        <v>15000</v>
      </c>
    </row>
    <row r="52" spans="1:9" ht="15" thickBot="1" x14ac:dyDescent="0.35">
      <c r="B52" s="33" t="s">
        <v>5</v>
      </c>
      <c r="C52" s="34">
        <f>SUM(C46:C51)</f>
        <v>3635575</v>
      </c>
      <c r="D52" s="36">
        <f>SUM(D46:D51)</f>
        <v>3000000</v>
      </c>
      <c r="E52" s="78">
        <f>SUM(E46:E51)</f>
        <v>635575</v>
      </c>
    </row>
    <row r="53" spans="1:9" ht="14.4" customHeight="1" thickTop="1" x14ac:dyDescent="0.3">
      <c r="A53" s="27" t="s">
        <v>7</v>
      </c>
    </row>
    <row r="54" spans="1:9" ht="28.95" customHeight="1" x14ac:dyDescent="0.3">
      <c r="A54" s="28" t="s">
        <v>8</v>
      </c>
      <c r="B54" s="197" t="s">
        <v>72</v>
      </c>
      <c r="C54" s="197"/>
      <c r="D54" s="197"/>
      <c r="E54" s="197"/>
    </row>
    <row r="55" spans="1:9" x14ac:dyDescent="0.3">
      <c r="I55" s="79"/>
    </row>
    <row r="56" spans="1:9" x14ac:dyDescent="0.3">
      <c r="I56" s="79"/>
    </row>
    <row r="57" spans="1:9" x14ac:dyDescent="0.3">
      <c r="I57" s="79"/>
    </row>
    <row r="59" spans="1:9" x14ac:dyDescent="0.3">
      <c r="A59" s="2" t="s">
        <v>73</v>
      </c>
      <c r="B59" s="4" t="s">
        <v>74</v>
      </c>
      <c r="E59" s="5" t="s">
        <v>75</v>
      </c>
    </row>
    <row r="60" spans="1:9" x14ac:dyDescent="0.3">
      <c r="A60" s="1" t="s">
        <v>76</v>
      </c>
      <c r="B60" s="30" t="s">
        <v>77</v>
      </c>
      <c r="C60" s="76"/>
      <c r="D60" s="77"/>
      <c r="E60" s="1" t="s">
        <v>78</v>
      </c>
    </row>
  </sheetData>
  <mergeCells count="9">
    <mergeCell ref="A44:E44"/>
    <mergeCell ref="B54:E54"/>
    <mergeCell ref="A23:B23"/>
    <mergeCell ref="D1:E1"/>
    <mergeCell ref="A2:E2"/>
    <mergeCell ref="A5:B5"/>
    <mergeCell ref="A10:B10"/>
    <mergeCell ref="A33:B33"/>
    <mergeCell ref="A40:B40"/>
  </mergeCells>
  <pageMargins left="0.70866141732283505" right="0.70866141732283505" top="0" bottom="0.74803149599999996" header="0.31496062992126" footer="0.31496062992126"/>
  <pageSetup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1"/>
  <sheetViews>
    <sheetView topLeftCell="A7" zoomScaleNormal="100" workbookViewId="0">
      <selection activeCell="J51" sqref="J51"/>
    </sheetView>
  </sheetViews>
  <sheetFormatPr defaultRowHeight="14.4" x14ac:dyDescent="0.3"/>
  <cols>
    <col min="1" max="1" width="11.109375" style="2" customWidth="1"/>
    <col min="2" max="2" width="41.6640625" style="4" bestFit="1" customWidth="1"/>
    <col min="3" max="3" width="16" style="3" customWidth="1"/>
    <col min="4" max="4" width="15.33203125" style="5" customWidth="1"/>
    <col min="5" max="5" width="15" style="5" customWidth="1"/>
  </cols>
  <sheetData>
    <row r="1" spans="1:5" x14ac:dyDescent="0.3">
      <c r="D1" s="199">
        <v>45967</v>
      </c>
      <c r="E1" s="199"/>
    </row>
    <row r="2" spans="1:5" s="1" customFormat="1" ht="22.2" customHeight="1" thickBot="1" x14ac:dyDescent="0.35">
      <c r="A2" s="195" t="s">
        <v>71</v>
      </c>
      <c r="B2" s="195"/>
      <c r="C2" s="195"/>
      <c r="D2" s="195"/>
      <c r="E2" s="195"/>
    </row>
    <row r="3" spans="1:5" s="7" customFormat="1" ht="28.5" customHeight="1" x14ac:dyDescent="0.3">
      <c r="A3" s="63" t="s">
        <v>4</v>
      </c>
      <c r="B3" s="64" t="s">
        <v>0</v>
      </c>
      <c r="C3" s="65" t="s">
        <v>3</v>
      </c>
      <c r="D3" s="66" t="s">
        <v>1</v>
      </c>
      <c r="E3" s="67" t="s">
        <v>2</v>
      </c>
    </row>
    <row r="4" spans="1:5" s="7" customFormat="1" ht="6.45" customHeight="1" x14ac:dyDescent="0.3">
      <c r="A4" s="58"/>
      <c r="B4" s="20"/>
      <c r="C4" s="57"/>
      <c r="E4" s="59"/>
    </row>
    <row r="5" spans="1:5" s="7" customFormat="1" ht="15.6" x14ac:dyDescent="0.3">
      <c r="A5" s="200" t="s">
        <v>54</v>
      </c>
      <c r="B5" s="201"/>
      <c r="C5" s="57"/>
      <c r="E5" s="59"/>
    </row>
    <row r="6" spans="1:5" x14ac:dyDescent="0.3">
      <c r="A6" s="60">
        <v>1</v>
      </c>
      <c r="B6" s="46" t="s">
        <v>20</v>
      </c>
      <c r="C6" s="47"/>
      <c r="D6" s="48"/>
      <c r="E6" s="61">
        <v>50000</v>
      </c>
    </row>
    <row r="7" spans="1:5" x14ac:dyDescent="0.3">
      <c r="A7" s="60">
        <v>2</v>
      </c>
      <c r="B7" s="46" t="s">
        <v>21</v>
      </c>
      <c r="C7" s="47"/>
      <c r="D7" s="48"/>
      <c r="E7" s="61">
        <v>15000</v>
      </c>
    </row>
    <row r="8" spans="1:5" ht="15" thickBot="1" x14ac:dyDescent="0.35">
      <c r="A8" s="62"/>
      <c r="B8" s="68" t="s">
        <v>53</v>
      </c>
      <c r="C8" s="55"/>
      <c r="D8" s="56"/>
      <c r="E8" s="74">
        <f>SUM(E6:E7)</f>
        <v>65000</v>
      </c>
    </row>
    <row r="9" spans="1:5" x14ac:dyDescent="0.3">
      <c r="C9" s="31"/>
      <c r="E9" s="32"/>
    </row>
    <row r="10" spans="1:5" s="7" customFormat="1" ht="16.2" thickBot="1" x14ac:dyDescent="0.35">
      <c r="A10" s="202" t="s">
        <v>55</v>
      </c>
      <c r="B10" s="202"/>
      <c r="C10" s="57"/>
    </row>
    <row r="11" spans="1:5" x14ac:dyDescent="0.3">
      <c r="A11" s="69">
        <v>3</v>
      </c>
      <c r="B11" s="70" t="s">
        <v>22</v>
      </c>
      <c r="C11" s="71"/>
      <c r="D11" s="72"/>
      <c r="E11" s="73">
        <v>40000</v>
      </c>
    </row>
    <row r="12" spans="1:5" x14ac:dyDescent="0.3">
      <c r="A12" s="60">
        <v>4</v>
      </c>
      <c r="B12" s="46" t="s">
        <v>23</v>
      </c>
      <c r="C12" s="47"/>
      <c r="D12" s="48"/>
      <c r="E12" s="61">
        <v>10000</v>
      </c>
    </row>
    <row r="13" spans="1:5" x14ac:dyDescent="0.3">
      <c r="A13" s="60">
        <v>5</v>
      </c>
      <c r="B13" s="46" t="s">
        <v>24</v>
      </c>
      <c r="C13" s="47"/>
      <c r="D13" s="48"/>
      <c r="E13" s="61">
        <v>10000</v>
      </c>
    </row>
    <row r="14" spans="1:5" x14ac:dyDescent="0.3">
      <c r="A14" s="60">
        <v>6</v>
      </c>
      <c r="B14" s="46" t="s">
        <v>25</v>
      </c>
      <c r="C14" s="47"/>
      <c r="D14" s="48"/>
      <c r="E14" s="61">
        <v>6000</v>
      </c>
    </row>
    <row r="15" spans="1:5" x14ac:dyDescent="0.3">
      <c r="A15" s="60">
        <v>7</v>
      </c>
      <c r="B15" s="46" t="s">
        <v>26</v>
      </c>
      <c r="C15" s="47"/>
      <c r="D15" s="48"/>
      <c r="E15" s="61">
        <v>5000</v>
      </c>
    </row>
    <row r="16" spans="1:5" x14ac:dyDescent="0.3">
      <c r="A16" s="60">
        <v>8</v>
      </c>
      <c r="B16" s="46" t="s">
        <v>27</v>
      </c>
      <c r="C16" s="47"/>
      <c r="D16" s="48"/>
      <c r="E16" s="61">
        <v>10000</v>
      </c>
    </row>
    <row r="17" spans="1:7" x14ac:dyDescent="0.3">
      <c r="A17" s="60">
        <v>9</v>
      </c>
      <c r="B17" s="46" t="s">
        <v>28</v>
      </c>
      <c r="C17" s="47"/>
      <c r="D17" s="48"/>
      <c r="E17" s="61">
        <v>5000</v>
      </c>
    </row>
    <row r="18" spans="1:7" x14ac:dyDescent="0.3">
      <c r="A18" s="60">
        <v>10</v>
      </c>
      <c r="B18" s="46" t="s">
        <v>29</v>
      </c>
      <c r="C18" s="47"/>
      <c r="D18" s="48"/>
      <c r="E18" s="61">
        <v>10000</v>
      </c>
    </row>
    <row r="19" spans="1:7" x14ac:dyDescent="0.3">
      <c r="A19" s="60">
        <v>11</v>
      </c>
      <c r="B19" s="46" t="s">
        <v>30</v>
      </c>
      <c r="C19" s="47"/>
      <c r="D19" s="48"/>
      <c r="E19" s="61">
        <v>10000</v>
      </c>
    </row>
    <row r="20" spans="1:7" x14ac:dyDescent="0.3">
      <c r="A20" s="60">
        <v>12</v>
      </c>
      <c r="B20" s="46" t="s">
        <v>31</v>
      </c>
      <c r="C20" s="47"/>
      <c r="D20" s="48"/>
      <c r="E20" s="61">
        <v>9000</v>
      </c>
    </row>
    <row r="21" spans="1:7" ht="15" thickBot="1" x14ac:dyDescent="0.35">
      <c r="A21" s="62"/>
      <c r="B21" s="68" t="s">
        <v>53</v>
      </c>
      <c r="C21" s="55"/>
      <c r="D21" s="56"/>
      <c r="E21" s="74">
        <f>SUM(E11:E20)</f>
        <v>115000</v>
      </c>
    </row>
    <row r="22" spans="1:7" x14ac:dyDescent="0.3">
      <c r="B22" s="30"/>
      <c r="C22" s="31"/>
      <c r="E22" s="54"/>
    </row>
    <row r="23" spans="1:7" s="7" customFormat="1" ht="16.2" thickBot="1" x14ac:dyDescent="0.35">
      <c r="A23" s="202" t="s">
        <v>56</v>
      </c>
      <c r="B23" s="202"/>
      <c r="C23" s="57"/>
    </row>
    <row r="24" spans="1:7" x14ac:dyDescent="0.3">
      <c r="A24" s="69">
        <v>13</v>
      </c>
      <c r="B24" s="70" t="s">
        <v>32</v>
      </c>
      <c r="C24" s="71"/>
      <c r="D24" s="72"/>
      <c r="E24" s="73">
        <v>2725</v>
      </c>
    </row>
    <row r="25" spans="1:7" x14ac:dyDescent="0.3">
      <c r="A25" s="60">
        <v>14</v>
      </c>
      <c r="B25" s="46" t="s">
        <v>33</v>
      </c>
      <c r="C25" s="47"/>
      <c r="D25" s="48"/>
      <c r="E25" s="61">
        <v>5055</v>
      </c>
    </row>
    <row r="26" spans="1:7" x14ac:dyDescent="0.3">
      <c r="A26" s="60">
        <v>15</v>
      </c>
      <c r="B26" s="46" t="s">
        <v>34</v>
      </c>
      <c r="C26" s="47"/>
      <c r="D26" s="48"/>
      <c r="E26" s="61">
        <v>2815</v>
      </c>
    </row>
    <row r="27" spans="1:7" x14ac:dyDescent="0.3">
      <c r="A27" s="60">
        <v>16</v>
      </c>
      <c r="B27" s="46" t="s">
        <v>35</v>
      </c>
      <c r="C27" s="47"/>
      <c r="D27" s="48"/>
      <c r="E27" s="61">
        <v>3000</v>
      </c>
    </row>
    <row r="28" spans="1:7" x14ac:dyDescent="0.3">
      <c r="A28" s="60">
        <v>17</v>
      </c>
      <c r="B28" s="46" t="s">
        <v>36</v>
      </c>
      <c r="C28" s="47"/>
      <c r="D28" s="48"/>
      <c r="E28" s="61">
        <v>4000</v>
      </c>
    </row>
    <row r="29" spans="1:7" x14ac:dyDescent="0.3">
      <c r="A29" s="60">
        <v>18</v>
      </c>
      <c r="B29" s="46" t="s">
        <v>37</v>
      </c>
      <c r="C29" s="47"/>
      <c r="D29" s="48"/>
      <c r="E29" s="61">
        <v>690</v>
      </c>
      <c r="G29">
        <f>5915-5225</f>
        <v>690</v>
      </c>
    </row>
    <row r="30" spans="1:7" x14ac:dyDescent="0.3">
      <c r="A30" s="60">
        <v>19</v>
      </c>
      <c r="B30" s="46" t="s">
        <v>39</v>
      </c>
      <c r="C30" s="47"/>
      <c r="D30" s="48"/>
      <c r="E30" s="61">
        <v>1715</v>
      </c>
      <c r="G30">
        <f>20000-18285</f>
        <v>1715</v>
      </c>
    </row>
    <row r="31" spans="1:7" ht="15" thickBot="1" x14ac:dyDescent="0.35">
      <c r="A31" s="62"/>
      <c r="B31" s="68" t="s">
        <v>5</v>
      </c>
      <c r="C31" s="55"/>
      <c r="D31" s="56"/>
      <c r="E31" s="74">
        <f>SUM(E24:E30)</f>
        <v>20000</v>
      </c>
    </row>
    <row r="32" spans="1:7" x14ac:dyDescent="0.3">
      <c r="B32" s="30"/>
      <c r="C32" s="31"/>
      <c r="E32" s="54"/>
    </row>
    <row r="33" spans="1:12" ht="16.2" thickBot="1" x14ac:dyDescent="0.35">
      <c r="A33" s="202" t="s">
        <v>79</v>
      </c>
      <c r="B33" s="202"/>
      <c r="C33" s="31"/>
      <c r="E33" s="32"/>
      <c r="J33" s="22"/>
      <c r="L33" s="22"/>
    </row>
    <row r="34" spans="1:12" x14ac:dyDescent="0.3">
      <c r="A34" s="69">
        <v>24</v>
      </c>
      <c r="B34" s="70" t="s">
        <v>43</v>
      </c>
      <c r="C34" s="71"/>
      <c r="D34" s="72"/>
      <c r="E34" s="73">
        <v>25000</v>
      </c>
      <c r="J34" s="22"/>
      <c r="L34" s="22"/>
    </row>
    <row r="35" spans="1:12" x14ac:dyDescent="0.3">
      <c r="A35" s="60"/>
      <c r="B35" s="46" t="s">
        <v>44</v>
      </c>
      <c r="C35" s="47"/>
      <c r="D35" s="48"/>
      <c r="E35" s="61">
        <v>50000</v>
      </c>
      <c r="J35" s="22"/>
      <c r="L35" s="22"/>
    </row>
    <row r="36" spans="1:12" x14ac:dyDescent="0.3">
      <c r="A36" s="60"/>
      <c r="B36" s="46" t="s">
        <v>45</v>
      </c>
      <c r="C36" s="47"/>
      <c r="D36" s="48"/>
      <c r="E36" s="61">
        <v>50000</v>
      </c>
      <c r="I36">
        <f>350/2</f>
        <v>175</v>
      </c>
      <c r="J36" s="22"/>
      <c r="L36" s="22"/>
    </row>
    <row r="37" spans="1:12" x14ac:dyDescent="0.3">
      <c r="A37" s="60"/>
      <c r="B37" s="46" t="s">
        <v>46</v>
      </c>
      <c r="C37" s="47"/>
      <c r="D37" s="48"/>
      <c r="E37" s="61">
        <v>25000</v>
      </c>
      <c r="I37">
        <f>225/2</f>
        <v>112.5</v>
      </c>
      <c r="J37" s="22"/>
      <c r="L37" s="22"/>
    </row>
    <row r="38" spans="1:12" ht="15" thickBot="1" x14ac:dyDescent="0.35">
      <c r="A38" s="62"/>
      <c r="B38" s="68" t="s">
        <v>5</v>
      </c>
      <c r="C38" s="55"/>
      <c r="D38" s="56"/>
      <c r="E38" s="74">
        <f>SUM(E34:E37)</f>
        <v>150000</v>
      </c>
    </row>
    <row r="39" spans="1:12" x14ac:dyDescent="0.3">
      <c r="A39" s="82"/>
      <c r="B39" s="82"/>
      <c r="C39" s="82"/>
      <c r="D39" s="82"/>
      <c r="E39" s="83"/>
    </row>
    <row r="40" spans="1:12" ht="16.2" thickBot="1" x14ac:dyDescent="0.35">
      <c r="A40" s="202" t="s">
        <v>57</v>
      </c>
      <c r="B40" s="202"/>
      <c r="C40" s="85"/>
      <c r="D40" s="85"/>
      <c r="E40" s="86"/>
    </row>
    <row r="41" spans="1:12" x14ac:dyDescent="0.3">
      <c r="A41" s="91">
        <v>25</v>
      </c>
      <c r="B41" s="92" t="s">
        <v>59</v>
      </c>
      <c r="C41" s="93"/>
      <c r="D41" s="93"/>
      <c r="E41" s="94">
        <v>50000</v>
      </c>
      <c r="J41">
        <f>1133/31.96</f>
        <v>35.450563204005007</v>
      </c>
    </row>
    <row r="42" spans="1:12" ht="15" thickBot="1" x14ac:dyDescent="0.35">
      <c r="A42" s="95"/>
      <c r="B42" s="97" t="s">
        <v>53</v>
      </c>
      <c r="C42" s="96"/>
      <c r="D42" s="96"/>
      <c r="E42" s="84">
        <f>SUM(E41:E41)</f>
        <v>50000</v>
      </c>
    </row>
    <row r="43" spans="1:12" ht="23.4" customHeight="1" thickBot="1" x14ac:dyDescent="0.35">
      <c r="B43" s="87" t="s">
        <v>58</v>
      </c>
      <c r="C43" s="88"/>
      <c r="D43" s="89"/>
      <c r="E43" s="90">
        <f>E38+E42+E21+E8+E31</f>
        <v>400000</v>
      </c>
      <c r="J43" s="22"/>
      <c r="L43" s="22"/>
    </row>
    <row r="44" spans="1:12" ht="21.6" thickTop="1" x14ac:dyDescent="0.3">
      <c r="A44" s="203" t="s">
        <v>60</v>
      </c>
      <c r="B44" s="203"/>
      <c r="C44" s="203"/>
      <c r="D44" s="203"/>
      <c r="E44" s="203"/>
      <c r="J44" s="22"/>
      <c r="L44" s="22"/>
    </row>
    <row r="45" spans="1:12" ht="28.8" x14ac:dyDescent="0.3">
      <c r="B45" s="80" t="s">
        <v>61</v>
      </c>
      <c r="C45" s="75" t="s">
        <v>62</v>
      </c>
      <c r="D45" s="80" t="s">
        <v>70</v>
      </c>
      <c r="E45" s="81" t="s">
        <v>63</v>
      </c>
      <c r="J45" s="22"/>
      <c r="L45" s="22"/>
    </row>
    <row r="46" spans="1:12" x14ac:dyDescent="0.3">
      <c r="B46" s="46" t="s">
        <v>64</v>
      </c>
      <c r="C46" s="47">
        <v>837500</v>
      </c>
      <c r="D46" s="49">
        <f>400000+150000+150000+65000</f>
        <v>765000</v>
      </c>
      <c r="E46" s="49">
        <f t="shared" ref="E46:E51" si="0">C46-D46</f>
        <v>72500</v>
      </c>
    </row>
    <row r="47" spans="1:12" x14ac:dyDescent="0.3">
      <c r="B47" s="46" t="s">
        <v>65</v>
      </c>
      <c r="C47" s="47">
        <v>1131275</v>
      </c>
      <c r="D47" s="49">
        <f>550000+150000+150000+115000</f>
        <v>965000</v>
      </c>
      <c r="E47" s="49">
        <f t="shared" si="0"/>
        <v>166275</v>
      </c>
    </row>
    <row r="48" spans="1:12" x14ac:dyDescent="0.3">
      <c r="B48" s="46" t="s">
        <v>66</v>
      </c>
      <c r="C48" s="47">
        <v>151800</v>
      </c>
      <c r="D48" s="49">
        <f>100000+20000</f>
        <v>120000</v>
      </c>
      <c r="E48" s="49">
        <f t="shared" si="0"/>
        <v>31800</v>
      </c>
    </row>
    <row r="49" spans="1:9" x14ac:dyDescent="0.3">
      <c r="B49" s="46" t="s">
        <v>68</v>
      </c>
      <c r="C49" s="47">
        <v>1025000</v>
      </c>
      <c r="D49" s="49">
        <f>500000+150000+150000+150000</f>
        <v>950000</v>
      </c>
      <c r="E49" s="49">
        <f t="shared" si="0"/>
        <v>75000</v>
      </c>
    </row>
    <row r="50" spans="1:9" x14ac:dyDescent="0.3">
      <c r="B50" s="46" t="s">
        <v>69</v>
      </c>
      <c r="C50" s="47">
        <v>475000</v>
      </c>
      <c r="D50" s="49">
        <f>50000+50000+50000+50000</f>
        <v>200000</v>
      </c>
      <c r="E50" s="49">
        <f t="shared" si="0"/>
        <v>275000</v>
      </c>
    </row>
    <row r="51" spans="1:9" x14ac:dyDescent="0.3">
      <c r="B51" s="46" t="s">
        <v>42</v>
      </c>
      <c r="C51" s="47">
        <v>15000</v>
      </c>
      <c r="D51" s="49">
        <v>0</v>
      </c>
      <c r="E51" s="49">
        <f t="shared" si="0"/>
        <v>15000</v>
      </c>
    </row>
    <row r="52" spans="1:9" ht="43.2" x14ac:dyDescent="0.3">
      <c r="B52" s="99" t="s">
        <v>82</v>
      </c>
      <c r="C52" s="100">
        <v>58500</v>
      </c>
      <c r="D52" s="101">
        <v>28500</v>
      </c>
      <c r="E52" s="101">
        <f>C52-D52</f>
        <v>30000</v>
      </c>
      <c r="F52" t="s">
        <v>83</v>
      </c>
    </row>
    <row r="53" spans="1:9" ht="15" thickBot="1" x14ac:dyDescent="0.35">
      <c r="B53" s="33" t="s">
        <v>5</v>
      </c>
      <c r="C53" s="36">
        <f>SUM(C46:C52)</f>
        <v>3694075</v>
      </c>
      <c r="D53" s="36">
        <f>SUM(D46:D52)</f>
        <v>3028500</v>
      </c>
      <c r="E53" s="78">
        <f>SUM(E46:E52)</f>
        <v>665575</v>
      </c>
    </row>
    <row r="54" spans="1:9" ht="14.4" customHeight="1" thickTop="1" x14ac:dyDescent="0.3">
      <c r="A54" s="27" t="s">
        <v>7</v>
      </c>
    </row>
    <row r="55" spans="1:9" ht="28.95" customHeight="1" x14ac:dyDescent="0.3">
      <c r="A55" s="28" t="s">
        <v>8</v>
      </c>
      <c r="B55" s="197" t="s">
        <v>72</v>
      </c>
      <c r="C55" s="197"/>
      <c r="D55" s="197"/>
      <c r="E55" s="197"/>
    </row>
    <row r="56" spans="1:9" x14ac:dyDescent="0.3">
      <c r="I56" s="79"/>
    </row>
    <row r="57" spans="1:9" x14ac:dyDescent="0.3">
      <c r="I57" s="79"/>
    </row>
    <row r="58" spans="1:9" x14ac:dyDescent="0.3">
      <c r="I58" s="79"/>
    </row>
    <row r="60" spans="1:9" x14ac:dyDescent="0.3">
      <c r="A60" s="2" t="s">
        <v>73</v>
      </c>
      <c r="B60" s="4" t="s">
        <v>74</v>
      </c>
      <c r="E60" s="5" t="s">
        <v>75</v>
      </c>
    </row>
    <row r="61" spans="1:9" x14ac:dyDescent="0.3">
      <c r="A61" s="1" t="s">
        <v>76</v>
      </c>
      <c r="B61" s="30" t="s">
        <v>77</v>
      </c>
      <c r="C61" s="76"/>
      <c r="D61" s="77"/>
      <c r="E61" s="1" t="s">
        <v>78</v>
      </c>
    </row>
  </sheetData>
  <mergeCells count="9">
    <mergeCell ref="A40:B40"/>
    <mergeCell ref="A44:E44"/>
    <mergeCell ref="B55:E55"/>
    <mergeCell ref="D1:E1"/>
    <mergeCell ref="A2:E2"/>
    <mergeCell ref="A5:B5"/>
    <mergeCell ref="A10:B10"/>
    <mergeCell ref="A23:B23"/>
    <mergeCell ref="A33:B33"/>
  </mergeCells>
  <pageMargins left="0.70866141732283505" right="0.70866141732283505" top="0" bottom="0.74803149599999996" header="0.31496062992126" footer="0.31496062992126"/>
  <pageSetup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9"/>
  <sheetViews>
    <sheetView zoomScaleNormal="100" workbookViewId="0">
      <selection activeCell="A2" sqref="A2:E2"/>
    </sheetView>
  </sheetViews>
  <sheetFormatPr defaultRowHeight="14.4" x14ac:dyDescent="0.3"/>
  <cols>
    <col min="1" max="1" width="11.109375" style="2" customWidth="1"/>
    <col min="2" max="2" width="41.6640625" style="4" bestFit="1" customWidth="1"/>
    <col min="3" max="3" width="16" style="3" customWidth="1"/>
    <col min="4" max="4" width="15.33203125" style="5" customWidth="1"/>
    <col min="5" max="5" width="15" style="5" customWidth="1"/>
    <col min="10" max="12" width="8.88671875" customWidth="1"/>
  </cols>
  <sheetData>
    <row r="1" spans="1:5" x14ac:dyDescent="0.3">
      <c r="D1" s="199">
        <v>45979</v>
      </c>
      <c r="E1" s="199"/>
    </row>
    <row r="2" spans="1:5" s="1" customFormat="1" ht="22.2" customHeight="1" thickBot="1" x14ac:dyDescent="0.35">
      <c r="A2" s="195" t="s">
        <v>71</v>
      </c>
      <c r="B2" s="195"/>
      <c r="C2" s="195"/>
      <c r="D2" s="195"/>
      <c r="E2" s="195"/>
    </row>
    <row r="3" spans="1:5" s="7" customFormat="1" ht="28.5" customHeight="1" x14ac:dyDescent="0.3">
      <c r="A3" s="63" t="s">
        <v>4</v>
      </c>
      <c r="B3" s="64" t="s">
        <v>0</v>
      </c>
      <c r="C3" s="65" t="s">
        <v>3</v>
      </c>
      <c r="D3" s="66" t="s">
        <v>1</v>
      </c>
      <c r="E3" s="67" t="s">
        <v>2</v>
      </c>
    </row>
    <row r="4" spans="1:5" s="7" customFormat="1" ht="6.45" customHeight="1" x14ac:dyDescent="0.3">
      <c r="A4" s="58"/>
      <c r="B4" s="20"/>
      <c r="C4" s="57"/>
      <c r="E4" s="59"/>
    </row>
    <row r="5" spans="1:5" s="7" customFormat="1" ht="15.6" x14ac:dyDescent="0.3">
      <c r="A5" s="200" t="s">
        <v>54</v>
      </c>
      <c r="B5" s="201"/>
      <c r="C5" s="57"/>
      <c r="E5" s="59"/>
    </row>
    <row r="6" spans="1:5" x14ac:dyDescent="0.3">
      <c r="A6" s="60"/>
      <c r="B6" s="46" t="s">
        <v>20</v>
      </c>
      <c r="C6" s="47"/>
      <c r="D6" s="48"/>
      <c r="E6" s="61">
        <v>72500</v>
      </c>
    </row>
    <row r="7" spans="1:5" ht="15" thickBot="1" x14ac:dyDescent="0.35">
      <c r="A7" s="62"/>
      <c r="B7" s="68" t="s">
        <v>53</v>
      </c>
      <c r="C7" s="55"/>
      <c r="D7" s="56"/>
      <c r="E7" s="74">
        <f>SUM(E6:E6)</f>
        <v>72500</v>
      </c>
    </row>
    <row r="8" spans="1:5" x14ac:dyDescent="0.3">
      <c r="C8" s="31"/>
      <c r="E8" s="32"/>
    </row>
    <row r="9" spans="1:5" s="7" customFormat="1" ht="16.2" thickBot="1" x14ac:dyDescent="0.35">
      <c r="A9" s="202" t="s">
        <v>55</v>
      </c>
      <c r="B9" s="202"/>
      <c r="C9" s="57"/>
    </row>
    <row r="10" spans="1:5" x14ac:dyDescent="0.3">
      <c r="A10" s="69"/>
      <c r="B10" s="70" t="s">
        <v>22</v>
      </c>
      <c r="C10" s="71"/>
      <c r="D10" s="72"/>
      <c r="E10" s="73">
        <f>35000-2000</f>
        <v>33000</v>
      </c>
    </row>
    <row r="11" spans="1:5" x14ac:dyDescent="0.3">
      <c r="A11" s="60"/>
      <c r="B11" s="46" t="s">
        <v>23</v>
      </c>
      <c r="C11" s="47"/>
      <c r="D11" s="48"/>
      <c r="E11" s="61">
        <f>30000-6800</f>
        <v>23200</v>
      </c>
    </row>
    <row r="12" spans="1:5" x14ac:dyDescent="0.3">
      <c r="A12" s="60"/>
      <c r="B12" s="46" t="s">
        <v>24</v>
      </c>
      <c r="C12" s="47"/>
      <c r="D12" s="48"/>
      <c r="E12" s="61">
        <v>9395</v>
      </c>
    </row>
    <row r="13" spans="1:5" x14ac:dyDescent="0.3">
      <c r="A13" s="60"/>
      <c r="B13" s="46" t="s">
        <v>26</v>
      </c>
      <c r="C13" s="47"/>
      <c r="D13" s="48"/>
      <c r="E13" s="61">
        <f>28750-4150</f>
        <v>24600</v>
      </c>
    </row>
    <row r="14" spans="1:5" x14ac:dyDescent="0.3">
      <c r="A14" s="60"/>
      <c r="B14" s="46" t="s">
        <v>28</v>
      </c>
      <c r="C14" s="47"/>
      <c r="D14" s="48"/>
      <c r="E14" s="61">
        <v>14600</v>
      </c>
    </row>
    <row r="15" spans="1:5" x14ac:dyDescent="0.3">
      <c r="A15" s="60"/>
      <c r="B15" s="46" t="s">
        <v>30</v>
      </c>
      <c r="C15" s="47"/>
      <c r="D15" s="48"/>
      <c r="E15" s="61">
        <v>33480</v>
      </c>
    </row>
    <row r="16" spans="1:5" x14ac:dyDescent="0.3">
      <c r="A16" s="60"/>
      <c r="B16" s="46" t="s">
        <v>31</v>
      </c>
      <c r="C16" s="47"/>
      <c r="D16" s="48"/>
      <c r="E16" s="61">
        <v>28000</v>
      </c>
    </row>
    <row r="17" spans="1:12" ht="15" thickBot="1" x14ac:dyDescent="0.35">
      <c r="A17" s="62"/>
      <c r="B17" s="68" t="s">
        <v>53</v>
      </c>
      <c r="C17" s="55"/>
      <c r="D17" s="56"/>
      <c r="E17" s="74">
        <f>SUM(E10:E16)</f>
        <v>166275</v>
      </c>
    </row>
    <row r="18" spans="1:12" x14ac:dyDescent="0.3">
      <c r="B18" s="30"/>
      <c r="C18" s="31"/>
      <c r="E18" s="54"/>
    </row>
    <row r="19" spans="1:12" s="7" customFormat="1" ht="16.2" thickBot="1" x14ac:dyDescent="0.35">
      <c r="A19" s="202" t="s">
        <v>56</v>
      </c>
      <c r="B19" s="202"/>
      <c r="C19" s="57"/>
    </row>
    <row r="20" spans="1:12" x14ac:dyDescent="0.3">
      <c r="A20" s="69"/>
      <c r="B20" s="70" t="s">
        <v>32</v>
      </c>
      <c r="C20" s="71"/>
      <c r="D20" s="72"/>
      <c r="E20" s="73">
        <v>5000</v>
      </c>
    </row>
    <row r="21" spans="1:12" x14ac:dyDescent="0.3">
      <c r="A21" s="60"/>
      <c r="B21" s="46" t="s">
        <v>33</v>
      </c>
      <c r="C21" s="47"/>
      <c r="D21" s="48"/>
      <c r="E21" s="61">
        <v>7000</v>
      </c>
    </row>
    <row r="22" spans="1:12" x14ac:dyDescent="0.3">
      <c r="A22" s="60"/>
      <c r="B22" s="46" t="s">
        <v>34</v>
      </c>
      <c r="C22" s="47"/>
      <c r="D22" s="48"/>
      <c r="E22" s="61">
        <v>3000</v>
      </c>
    </row>
    <row r="23" spans="1:12" x14ac:dyDescent="0.3">
      <c r="A23" s="60"/>
      <c r="B23" s="46" t="s">
        <v>35</v>
      </c>
      <c r="C23" s="47"/>
      <c r="D23" s="48"/>
      <c r="E23" s="61">
        <v>2675</v>
      </c>
    </row>
    <row r="24" spans="1:12" x14ac:dyDescent="0.3">
      <c r="A24" s="60"/>
      <c r="B24" s="46" t="s">
        <v>36</v>
      </c>
      <c r="C24" s="47"/>
      <c r="D24" s="48"/>
      <c r="E24" s="61">
        <v>1760</v>
      </c>
    </row>
    <row r="25" spans="1:12" x14ac:dyDescent="0.3">
      <c r="A25" s="60"/>
      <c r="B25" s="46" t="s">
        <v>39</v>
      </c>
      <c r="C25" s="47"/>
      <c r="D25" s="48"/>
      <c r="E25" s="61">
        <v>535</v>
      </c>
    </row>
    <row r="26" spans="1:12" x14ac:dyDescent="0.3">
      <c r="A26" s="60"/>
      <c r="B26" s="46" t="s">
        <v>40</v>
      </c>
      <c r="C26" s="47"/>
      <c r="D26" s="48"/>
      <c r="E26" s="61">
        <v>4465</v>
      </c>
    </row>
    <row r="27" spans="1:12" x14ac:dyDescent="0.3">
      <c r="A27" s="60"/>
      <c r="B27" s="46" t="s">
        <v>41</v>
      </c>
      <c r="C27" s="47"/>
      <c r="D27" s="48"/>
      <c r="E27" s="61">
        <v>7365</v>
      </c>
      <c r="G27">
        <f>20000-18285</f>
        <v>1715</v>
      </c>
    </row>
    <row r="28" spans="1:12" ht="15" thickBot="1" x14ac:dyDescent="0.35">
      <c r="A28" s="62"/>
      <c r="B28" s="68" t="s">
        <v>5</v>
      </c>
      <c r="C28" s="55"/>
      <c r="D28" s="56"/>
      <c r="E28" s="74">
        <f>SUM(E20:E27)</f>
        <v>31800</v>
      </c>
    </row>
    <row r="29" spans="1:12" x14ac:dyDescent="0.3">
      <c r="B29" s="30"/>
      <c r="C29" s="31"/>
      <c r="E29" s="54"/>
    </row>
    <row r="30" spans="1:12" ht="15.6" x14ac:dyDescent="0.3">
      <c r="A30" s="202" t="s">
        <v>79</v>
      </c>
      <c r="B30" s="202"/>
      <c r="C30" s="31"/>
      <c r="E30" s="32"/>
      <c r="J30" s="22"/>
      <c r="L30" s="22"/>
    </row>
    <row r="31" spans="1:12" x14ac:dyDescent="0.3">
      <c r="A31" s="60"/>
      <c r="B31" s="46" t="s">
        <v>45</v>
      </c>
      <c r="C31" s="47"/>
      <c r="D31" s="48"/>
      <c r="E31" s="61">
        <v>25000</v>
      </c>
      <c r="I31">
        <f>350/2</f>
        <v>175</v>
      </c>
      <c r="J31" s="22"/>
      <c r="L31" s="22"/>
    </row>
    <row r="32" spans="1:12" x14ac:dyDescent="0.3">
      <c r="A32" s="60"/>
      <c r="B32" s="46" t="s">
        <v>46</v>
      </c>
      <c r="C32" s="47"/>
      <c r="D32" s="48"/>
      <c r="E32" s="61">
        <v>50000</v>
      </c>
      <c r="I32">
        <f>225/2</f>
        <v>112.5</v>
      </c>
      <c r="J32" s="22"/>
      <c r="L32" s="22"/>
    </row>
    <row r="33" spans="1:12" ht="15" thickBot="1" x14ac:dyDescent="0.35">
      <c r="A33" s="62"/>
      <c r="B33" s="68" t="s">
        <v>5</v>
      </c>
      <c r="C33" s="55"/>
      <c r="D33" s="56"/>
      <c r="E33" s="74">
        <f>SUM(E31:E32)</f>
        <v>75000</v>
      </c>
    </row>
    <row r="34" spans="1:12" x14ac:dyDescent="0.3">
      <c r="A34" s="82"/>
      <c r="B34" s="82"/>
      <c r="C34" s="82"/>
      <c r="D34" s="82"/>
      <c r="E34" s="83"/>
    </row>
    <row r="35" spans="1:12" ht="15.6" x14ac:dyDescent="0.3">
      <c r="A35" s="202" t="s">
        <v>84</v>
      </c>
      <c r="B35" s="202"/>
      <c r="C35" s="85"/>
      <c r="D35" s="85"/>
      <c r="E35" s="86"/>
    </row>
    <row r="36" spans="1:12" ht="38.4" customHeight="1" x14ac:dyDescent="0.3">
      <c r="A36" s="60"/>
      <c r="B36" s="46" t="s">
        <v>85</v>
      </c>
      <c r="C36" s="47"/>
      <c r="D36" s="48"/>
      <c r="E36" s="61">
        <v>10000</v>
      </c>
      <c r="J36" s="22">
        <f>1133/31.96</f>
        <v>35.450563204005007</v>
      </c>
      <c r="L36" s="22"/>
    </row>
    <row r="37" spans="1:12" x14ac:dyDescent="0.3">
      <c r="A37" s="60"/>
      <c r="B37" s="46" t="s">
        <v>86</v>
      </c>
      <c r="C37" s="47"/>
      <c r="D37" s="48"/>
      <c r="E37" s="61">
        <v>20000</v>
      </c>
      <c r="J37" s="22"/>
      <c r="L37" s="22"/>
    </row>
    <row r="38" spans="1:12" ht="15" thickBot="1" x14ac:dyDescent="0.35">
      <c r="A38" s="95"/>
      <c r="B38" s="97" t="s">
        <v>53</v>
      </c>
      <c r="C38" s="96"/>
      <c r="D38" s="96"/>
      <c r="E38" s="84">
        <f>SUM(E36:E37)</f>
        <v>30000</v>
      </c>
    </row>
    <row r="39" spans="1:12" ht="23.4" customHeight="1" thickBot="1" x14ac:dyDescent="0.35">
      <c r="B39" s="87" t="s">
        <v>58</v>
      </c>
      <c r="C39" s="88"/>
      <c r="D39" s="89"/>
      <c r="E39" s="90">
        <f>E33+E38+E17+E7+E28</f>
        <v>375575</v>
      </c>
      <c r="J39" s="22"/>
      <c r="L39" s="22"/>
    </row>
    <row r="40" spans="1:12" ht="14.4" customHeight="1" thickTop="1" x14ac:dyDescent="0.3">
      <c r="A40" s="27" t="s">
        <v>7</v>
      </c>
    </row>
    <row r="41" spans="1:12" ht="28.95" customHeight="1" x14ac:dyDescent="0.3">
      <c r="A41" s="28" t="s">
        <v>8</v>
      </c>
      <c r="B41" s="197" t="s">
        <v>72</v>
      </c>
      <c r="C41" s="197"/>
      <c r="D41" s="197"/>
      <c r="E41" s="197"/>
    </row>
    <row r="42" spans="1:12" ht="15.6" x14ac:dyDescent="0.3">
      <c r="A42" s="28"/>
      <c r="B42" s="102"/>
      <c r="C42" s="102"/>
      <c r="D42" s="102"/>
      <c r="E42" s="102"/>
      <c r="I42" s="79"/>
    </row>
    <row r="43" spans="1:12" ht="15.6" x14ac:dyDescent="0.3">
      <c r="A43" s="28"/>
      <c r="B43" s="102"/>
      <c r="C43" s="102"/>
      <c r="D43" s="102"/>
      <c r="E43" s="102"/>
      <c r="I43" s="79"/>
    </row>
    <row r="44" spans="1:12" ht="15.6" x14ac:dyDescent="0.3">
      <c r="A44" s="28"/>
      <c r="B44" s="102"/>
      <c r="C44" s="102"/>
      <c r="D44" s="102"/>
      <c r="E44" s="102"/>
      <c r="I44" s="79"/>
    </row>
    <row r="45" spans="1:12" ht="15.6" x14ac:dyDescent="0.3">
      <c r="A45" s="28"/>
      <c r="B45" s="102"/>
      <c r="C45" s="102"/>
      <c r="D45" s="102"/>
      <c r="E45" s="102"/>
      <c r="I45" s="79"/>
    </row>
    <row r="46" spans="1:12" x14ac:dyDescent="0.3">
      <c r="I46" s="79"/>
    </row>
    <row r="48" spans="1:12" x14ac:dyDescent="0.3">
      <c r="A48" s="2" t="s">
        <v>73</v>
      </c>
      <c r="B48" s="4" t="s">
        <v>74</v>
      </c>
      <c r="E48" s="5" t="s">
        <v>75</v>
      </c>
    </row>
    <row r="49" spans="1:5" x14ac:dyDescent="0.3">
      <c r="A49" s="1" t="s">
        <v>76</v>
      </c>
      <c r="B49" s="30" t="s">
        <v>77</v>
      </c>
      <c r="C49" s="76"/>
      <c r="D49" s="77"/>
      <c r="E49" s="1" t="s">
        <v>78</v>
      </c>
    </row>
  </sheetData>
  <mergeCells count="8">
    <mergeCell ref="A35:B35"/>
    <mergeCell ref="B41:E41"/>
    <mergeCell ref="A30:B30"/>
    <mergeCell ref="D1:E1"/>
    <mergeCell ref="A2:E2"/>
    <mergeCell ref="A5:B5"/>
    <mergeCell ref="A9:B9"/>
    <mergeCell ref="A19:B19"/>
  </mergeCells>
  <pageMargins left="0.70866141732283505" right="0.70866141732283505" top="0" bottom="0.74803149599999996" header="0.31496062992126" footer="0.31496062992126"/>
  <pageSetup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6"/>
  <sheetViews>
    <sheetView workbookViewId="0">
      <selection activeCell="J21" sqref="J21"/>
    </sheetView>
  </sheetViews>
  <sheetFormatPr defaultRowHeight="14.4" x14ac:dyDescent="0.3"/>
  <cols>
    <col min="2" max="2" width="38.33203125" customWidth="1"/>
    <col min="3" max="3" width="22.33203125" customWidth="1"/>
    <col min="4" max="4" width="20.44140625" customWidth="1"/>
    <col min="5" max="5" width="21.6640625" customWidth="1"/>
  </cols>
  <sheetData>
    <row r="1" spans="1:12" ht="21" x14ac:dyDescent="0.3">
      <c r="A1" s="203" t="s">
        <v>60</v>
      </c>
      <c r="B1" s="203"/>
      <c r="C1" s="203"/>
      <c r="D1" s="203"/>
      <c r="E1" s="203"/>
      <c r="J1" s="22"/>
      <c r="L1" s="22"/>
    </row>
    <row r="2" spans="1:12" ht="28.8" x14ac:dyDescent="0.3">
      <c r="A2" s="2"/>
      <c r="B2" s="80" t="s">
        <v>61</v>
      </c>
      <c r="C2" s="75" t="s">
        <v>62</v>
      </c>
      <c r="D2" s="80" t="s">
        <v>70</v>
      </c>
      <c r="E2" s="81" t="s">
        <v>63</v>
      </c>
      <c r="J2" s="22"/>
      <c r="L2" s="22"/>
    </row>
    <row r="3" spans="1:12" x14ac:dyDescent="0.3">
      <c r="A3" s="2"/>
      <c r="B3" s="46" t="s">
        <v>64</v>
      </c>
      <c r="C3" s="47">
        <v>837500</v>
      </c>
      <c r="D3" s="49">
        <f>400000+150000+150000+65000+72500</f>
        <v>837500</v>
      </c>
      <c r="E3" s="49">
        <f t="shared" ref="E3:E8" si="0">C3-D3</f>
        <v>0</v>
      </c>
    </row>
    <row r="4" spans="1:12" x14ac:dyDescent="0.3">
      <c r="A4" s="2"/>
      <c r="B4" s="46" t="s">
        <v>65</v>
      </c>
      <c r="C4" s="47">
        <v>1131275</v>
      </c>
      <c r="D4" s="49">
        <f>550000+150000+150000+115000+166275</f>
        <v>1131275</v>
      </c>
      <c r="E4" s="49">
        <f t="shared" si="0"/>
        <v>0</v>
      </c>
    </row>
    <row r="5" spans="1:12" x14ac:dyDescent="0.3">
      <c r="A5" s="2"/>
      <c r="B5" s="46" t="s">
        <v>66</v>
      </c>
      <c r="C5" s="47">
        <v>151800</v>
      </c>
      <c r="D5" s="49">
        <f>100000+20000+31800</f>
        <v>151800</v>
      </c>
      <c r="E5" s="49">
        <f t="shared" si="0"/>
        <v>0</v>
      </c>
    </row>
    <row r="6" spans="1:12" x14ac:dyDescent="0.3">
      <c r="A6" s="2"/>
      <c r="B6" s="46" t="s">
        <v>68</v>
      </c>
      <c r="C6" s="47">
        <v>1025000</v>
      </c>
      <c r="D6" s="49">
        <f>500000+150000+150000+150000+75000</f>
        <v>1025000</v>
      </c>
      <c r="E6" s="49">
        <f t="shared" si="0"/>
        <v>0</v>
      </c>
    </row>
    <row r="7" spans="1:12" x14ac:dyDescent="0.3">
      <c r="A7" s="2"/>
      <c r="B7" s="46" t="s">
        <v>69</v>
      </c>
      <c r="C7" s="47">
        <v>475000</v>
      </c>
      <c r="D7" s="49">
        <f>50000+50000+50000+50000</f>
        <v>200000</v>
      </c>
      <c r="E7" s="49">
        <f>C7-D7</f>
        <v>275000</v>
      </c>
    </row>
    <row r="8" spans="1:12" x14ac:dyDescent="0.3">
      <c r="A8" s="2"/>
      <c r="B8" s="46" t="s">
        <v>42</v>
      </c>
      <c r="C8" s="47">
        <v>15000</v>
      </c>
      <c r="D8" s="49">
        <v>0</v>
      </c>
      <c r="E8" s="49">
        <f t="shared" si="0"/>
        <v>15000</v>
      </c>
    </row>
    <row r="9" spans="1:12" ht="42" customHeight="1" x14ac:dyDescent="0.3">
      <c r="A9" s="2"/>
      <c r="B9" s="46" t="s">
        <v>82</v>
      </c>
      <c r="C9" s="47">
        <v>58500</v>
      </c>
      <c r="D9" s="49">
        <f>28500+30000</f>
        <v>58500</v>
      </c>
      <c r="E9" s="49">
        <f>C9-D9</f>
        <v>0</v>
      </c>
      <c r="F9" t="s">
        <v>83</v>
      </c>
    </row>
    <row r="10" spans="1:12" ht="15" thickBot="1" x14ac:dyDescent="0.35">
      <c r="A10" s="2"/>
      <c r="B10" s="33" t="s">
        <v>5</v>
      </c>
      <c r="C10" s="36">
        <f>SUM(C3:C9)</f>
        <v>3694075</v>
      </c>
      <c r="D10" s="36">
        <f>SUM(D3:D9)</f>
        <v>3404075</v>
      </c>
      <c r="E10" s="78">
        <f>SUM(E3:E9)</f>
        <v>290000</v>
      </c>
    </row>
    <row r="11" spans="1:12" ht="15" thickTop="1" x14ac:dyDescent="0.3"/>
    <row r="14" spans="1:12" x14ac:dyDescent="0.3">
      <c r="C14">
        <v>3472675</v>
      </c>
    </row>
    <row r="15" spans="1:12" x14ac:dyDescent="0.3">
      <c r="C15">
        <f>C14-275000-15000</f>
        <v>3182675</v>
      </c>
    </row>
    <row r="16" spans="1:12" x14ac:dyDescent="0.3">
      <c r="C16" t="s">
        <v>87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"/>
  <sheetViews>
    <sheetView workbookViewId="0">
      <selection activeCell="D8" sqref="D8"/>
    </sheetView>
  </sheetViews>
  <sheetFormatPr defaultRowHeight="14.4" x14ac:dyDescent="0.3"/>
  <cols>
    <col min="2" max="2" width="38.33203125" customWidth="1"/>
    <col min="3" max="3" width="22.33203125" customWidth="1"/>
    <col min="4" max="4" width="20.44140625" customWidth="1"/>
    <col min="5" max="5" width="21.6640625" customWidth="1"/>
  </cols>
  <sheetData>
    <row r="1" spans="1:12" ht="21" x14ac:dyDescent="0.3">
      <c r="A1" s="203" t="s">
        <v>60</v>
      </c>
      <c r="B1" s="203"/>
      <c r="C1" s="203"/>
      <c r="D1" s="203"/>
      <c r="E1" s="203"/>
      <c r="J1" s="22"/>
      <c r="L1" s="22"/>
    </row>
    <row r="2" spans="1:12" ht="28.8" x14ac:dyDescent="0.3">
      <c r="A2" s="2"/>
      <c r="B2" s="80" t="s">
        <v>61</v>
      </c>
      <c r="C2" s="75" t="s">
        <v>62</v>
      </c>
      <c r="D2" s="80" t="s">
        <v>70</v>
      </c>
      <c r="E2" s="81" t="s">
        <v>63</v>
      </c>
      <c r="J2" s="22"/>
      <c r="L2" s="22"/>
    </row>
    <row r="3" spans="1:12" x14ac:dyDescent="0.3">
      <c r="A3" s="2"/>
      <c r="B3" s="46" t="s">
        <v>64</v>
      </c>
      <c r="C3" s="47">
        <v>837500</v>
      </c>
      <c r="D3" s="49">
        <f>400000+150000+150000+65000+72500</f>
        <v>837500</v>
      </c>
      <c r="E3" s="49">
        <f t="shared" ref="E3:E6" si="0">C3-D3</f>
        <v>0</v>
      </c>
    </row>
    <row r="4" spans="1:12" x14ac:dyDescent="0.3">
      <c r="A4" s="2"/>
      <c r="B4" s="46" t="s">
        <v>65</v>
      </c>
      <c r="C4" s="47">
        <v>1131275</v>
      </c>
      <c r="D4" s="49">
        <f>550000+150000+150000+115000+166275</f>
        <v>1131275</v>
      </c>
      <c r="E4" s="49">
        <f t="shared" si="0"/>
        <v>0</v>
      </c>
    </row>
    <row r="5" spans="1:12" x14ac:dyDescent="0.3">
      <c r="A5" s="2"/>
      <c r="B5" s="46" t="s">
        <v>66</v>
      </c>
      <c r="C5" s="47">
        <v>151800</v>
      </c>
      <c r="D5" s="49">
        <f>100000+20000+31800</f>
        <v>151800</v>
      </c>
      <c r="E5" s="49">
        <f t="shared" si="0"/>
        <v>0</v>
      </c>
    </row>
    <row r="6" spans="1:12" x14ac:dyDescent="0.3">
      <c r="A6" s="2"/>
      <c r="B6" s="46" t="s">
        <v>68</v>
      </c>
      <c r="C6" s="47">
        <v>1025000</v>
      </c>
      <c r="D6" s="49">
        <f>500000+150000+150000+150000+75000</f>
        <v>1025000</v>
      </c>
      <c r="E6" s="49">
        <f t="shared" si="0"/>
        <v>0</v>
      </c>
    </row>
    <row r="7" spans="1:12" x14ac:dyDescent="0.3">
      <c r="A7" s="2"/>
      <c r="B7" s="46" t="s">
        <v>69</v>
      </c>
      <c r="C7" s="47">
        <v>475000</v>
      </c>
      <c r="D7" s="49">
        <f>50000+50000+50000+50000</f>
        <v>200000</v>
      </c>
      <c r="E7" s="49">
        <f>C7-D7</f>
        <v>275000</v>
      </c>
    </row>
    <row r="8" spans="1:12" ht="42" customHeight="1" x14ac:dyDescent="0.3">
      <c r="A8" s="2"/>
      <c r="B8" s="46" t="s">
        <v>82</v>
      </c>
      <c r="C8" s="47">
        <v>58500</v>
      </c>
      <c r="D8" s="49">
        <f>28500+30000</f>
        <v>58500</v>
      </c>
      <c r="E8" s="49">
        <f>C8-D8</f>
        <v>0</v>
      </c>
      <c r="F8" t="s">
        <v>83</v>
      </c>
    </row>
    <row r="9" spans="1:12" ht="15" thickBot="1" x14ac:dyDescent="0.35">
      <c r="A9" s="2"/>
      <c r="B9" s="33" t="s">
        <v>5</v>
      </c>
      <c r="C9" s="36">
        <f>SUM(C3:C8)</f>
        <v>3679075</v>
      </c>
      <c r="D9" s="36">
        <f>SUM(D3:D8)</f>
        <v>3404075</v>
      </c>
      <c r="E9" s="78">
        <f>SUM(E3:E8)</f>
        <v>275000</v>
      </c>
    </row>
    <row r="10" spans="1:12" ht="15" thickTop="1" x14ac:dyDescent="0.3"/>
    <row r="13" spans="1:12" x14ac:dyDescent="0.3">
      <c r="C13">
        <v>3472675</v>
      </c>
    </row>
    <row r="14" spans="1:12" x14ac:dyDescent="0.3">
      <c r="C14">
        <f>C13-275000-15000</f>
        <v>3182675</v>
      </c>
    </row>
    <row r="15" spans="1:12" x14ac:dyDescent="0.3">
      <c r="C15" t="s">
        <v>87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"/>
  <sheetViews>
    <sheetView topLeftCell="A7" workbookViewId="0">
      <selection activeCell="E19" activeCellId="2" sqref="E37 E31 E19"/>
    </sheetView>
  </sheetViews>
  <sheetFormatPr defaultRowHeight="14.4" x14ac:dyDescent="0.3"/>
  <cols>
    <col min="2" max="2" width="38.33203125" customWidth="1"/>
    <col min="3" max="3" width="22.33203125" customWidth="1"/>
    <col min="4" max="4" width="20.44140625" customWidth="1"/>
    <col min="5" max="5" width="21.6640625" customWidth="1"/>
  </cols>
  <sheetData>
    <row r="1" spans="1:6" ht="24" thickBot="1" x14ac:dyDescent="0.35">
      <c r="A1" s="204" t="s">
        <v>71</v>
      </c>
      <c r="B1" s="204"/>
      <c r="C1" s="204"/>
      <c r="D1" s="204"/>
      <c r="E1" s="204"/>
      <c r="F1" s="122"/>
    </row>
    <row r="2" spans="1:6" s="7" customFormat="1" ht="28.5" customHeight="1" x14ac:dyDescent="0.3">
      <c r="A2" s="37" t="s">
        <v>4</v>
      </c>
      <c r="B2" s="38" t="s">
        <v>0</v>
      </c>
      <c r="C2" s="39" t="s">
        <v>3</v>
      </c>
      <c r="D2" s="16" t="s">
        <v>1</v>
      </c>
      <c r="E2" s="40" t="s">
        <v>2</v>
      </c>
    </row>
    <row r="3" spans="1:6" s="7" customFormat="1" ht="6.45" customHeight="1" x14ac:dyDescent="0.3">
      <c r="A3" s="41"/>
      <c r="B3" s="42"/>
      <c r="C3" s="43"/>
      <c r="D3" s="41"/>
      <c r="E3" s="41"/>
    </row>
    <row r="4" spans="1:6" s="7" customFormat="1" ht="15.6" x14ac:dyDescent="0.3">
      <c r="A4" s="44"/>
      <c r="B4" s="114" t="s">
        <v>54</v>
      </c>
      <c r="C4" s="43"/>
      <c r="D4" s="41"/>
      <c r="E4" s="41"/>
    </row>
    <row r="5" spans="1:6" x14ac:dyDescent="0.3">
      <c r="A5" s="45">
        <v>1</v>
      </c>
      <c r="B5" s="46" t="s">
        <v>20</v>
      </c>
      <c r="C5" s="47">
        <v>3000</v>
      </c>
      <c r="D5" s="48">
        <v>250</v>
      </c>
      <c r="E5" s="49">
        <f>C5*D5</f>
        <v>750000</v>
      </c>
    </row>
    <row r="6" spans="1:6" x14ac:dyDescent="0.3">
      <c r="A6" s="45">
        <v>2</v>
      </c>
      <c r="B6" s="46" t="s">
        <v>21</v>
      </c>
      <c r="C6" s="47">
        <v>3500</v>
      </c>
      <c r="D6" s="48">
        <v>25</v>
      </c>
      <c r="E6" s="49">
        <f t="shared" ref="E6:E12" si="0">C6*D6</f>
        <v>87500</v>
      </c>
    </row>
    <row r="7" spans="1:6" ht="15" thickBot="1" x14ac:dyDescent="0.35">
      <c r="A7" s="45"/>
      <c r="B7" s="106"/>
      <c r="C7" s="107"/>
      <c r="D7" s="108"/>
      <c r="E7" s="109">
        <f>SUM(E5:E6)</f>
        <v>837500</v>
      </c>
    </row>
    <row r="8" spans="1:6" ht="15" thickTop="1" x14ac:dyDescent="0.3">
      <c r="A8" s="113"/>
      <c r="B8" s="115" t="s">
        <v>65</v>
      </c>
      <c r="C8" s="110"/>
      <c r="D8" s="111"/>
      <c r="E8" s="112"/>
    </row>
    <row r="9" spans="1:6" x14ac:dyDescent="0.3">
      <c r="A9" s="45">
        <v>3</v>
      </c>
      <c r="B9" s="46" t="s">
        <v>22</v>
      </c>
      <c r="C9" s="47">
        <v>250</v>
      </c>
      <c r="D9" s="48">
        <v>1500</v>
      </c>
      <c r="E9" s="49">
        <f>C9*D9</f>
        <v>375000</v>
      </c>
    </row>
    <row r="10" spans="1:6" x14ac:dyDescent="0.3">
      <c r="A10" s="45">
        <v>4</v>
      </c>
      <c r="B10" s="46" t="s">
        <v>23</v>
      </c>
      <c r="C10" s="47">
        <v>10000</v>
      </c>
      <c r="D10" s="48"/>
      <c r="E10" s="49">
        <v>180000</v>
      </c>
    </row>
    <row r="11" spans="1:6" x14ac:dyDescent="0.3">
      <c r="A11" s="45">
        <v>5</v>
      </c>
      <c r="B11" s="46" t="s">
        <v>24</v>
      </c>
      <c r="C11" s="47">
        <v>2389</v>
      </c>
      <c r="D11" s="48"/>
      <c r="E11" s="49">
        <v>64395</v>
      </c>
    </row>
    <row r="12" spans="1:6" x14ac:dyDescent="0.3">
      <c r="A12" s="45">
        <v>6</v>
      </c>
      <c r="B12" s="46" t="s">
        <v>25</v>
      </c>
      <c r="C12" s="47">
        <v>9000</v>
      </c>
      <c r="D12" s="48">
        <v>4</v>
      </c>
      <c r="E12" s="49">
        <f t="shared" si="0"/>
        <v>36000</v>
      </c>
    </row>
    <row r="13" spans="1:6" x14ac:dyDescent="0.3">
      <c r="A13" s="45">
        <v>7</v>
      </c>
      <c r="B13" s="46" t="s">
        <v>26</v>
      </c>
      <c r="C13" s="47">
        <v>4150</v>
      </c>
      <c r="D13" s="48">
        <v>25</v>
      </c>
      <c r="E13" s="49">
        <f>C13*D13</f>
        <v>103750</v>
      </c>
    </row>
    <row r="14" spans="1:6" x14ac:dyDescent="0.3">
      <c r="A14" s="45">
        <v>8</v>
      </c>
      <c r="B14" s="46" t="s">
        <v>27</v>
      </c>
      <c r="C14" s="47">
        <v>15</v>
      </c>
      <c r="D14" s="48">
        <v>2880</v>
      </c>
      <c r="E14" s="49">
        <f t="shared" ref="E14:E30" si="1">C14*D14</f>
        <v>43200</v>
      </c>
    </row>
    <row r="15" spans="1:6" x14ac:dyDescent="0.3">
      <c r="A15" s="45">
        <v>9</v>
      </c>
      <c r="B15" s="46" t="s">
        <v>28</v>
      </c>
      <c r="C15" s="47">
        <v>9</v>
      </c>
      <c r="D15" s="48">
        <v>4400</v>
      </c>
      <c r="E15" s="49">
        <f t="shared" si="1"/>
        <v>39600</v>
      </c>
    </row>
    <row r="16" spans="1:6" x14ac:dyDescent="0.3">
      <c r="A16" s="45">
        <v>10</v>
      </c>
      <c r="B16" s="46" t="s">
        <v>29</v>
      </c>
      <c r="C16" s="47">
        <v>9</v>
      </c>
      <c r="D16" s="48">
        <v>5650</v>
      </c>
      <c r="E16" s="49">
        <f t="shared" si="1"/>
        <v>50850</v>
      </c>
    </row>
    <row r="17" spans="1:12" x14ac:dyDescent="0.3">
      <c r="A17" s="45">
        <v>11</v>
      </c>
      <c r="B17" s="46" t="s">
        <v>30</v>
      </c>
      <c r="C17" s="47">
        <v>8</v>
      </c>
      <c r="D17" s="48">
        <v>16685</v>
      </c>
      <c r="E17" s="49">
        <f t="shared" si="1"/>
        <v>133480</v>
      </c>
    </row>
    <row r="18" spans="1:12" ht="15" thickBot="1" x14ac:dyDescent="0.35">
      <c r="A18" s="45">
        <v>12</v>
      </c>
      <c r="B18" s="46" t="s">
        <v>31</v>
      </c>
      <c r="C18" s="47">
        <v>300</v>
      </c>
      <c r="D18" s="48">
        <v>350</v>
      </c>
      <c r="E18" s="49">
        <f t="shared" si="1"/>
        <v>105000</v>
      </c>
      <c r="H18" s="117"/>
    </row>
    <row r="19" spans="1:12" ht="15.6" thickTop="1" thickBot="1" x14ac:dyDescent="0.35">
      <c r="A19" s="45"/>
      <c r="B19" s="106"/>
      <c r="C19" s="107"/>
      <c r="D19" s="108"/>
      <c r="E19" s="109">
        <f>SUM(E9:E18)</f>
        <v>1131275</v>
      </c>
    </row>
    <row r="20" spans="1:12" ht="15" thickTop="1" x14ac:dyDescent="0.3">
      <c r="A20" s="45"/>
      <c r="B20" s="115" t="s">
        <v>66</v>
      </c>
      <c r="C20" s="104"/>
      <c r="D20" s="105"/>
      <c r="E20" s="116"/>
    </row>
    <row r="21" spans="1:12" x14ac:dyDescent="0.3">
      <c r="A21" s="45">
        <v>13</v>
      </c>
      <c r="B21" s="46" t="s">
        <v>32</v>
      </c>
      <c r="C21" s="47">
        <v>9</v>
      </c>
      <c r="D21" s="48">
        <v>2525</v>
      </c>
      <c r="E21" s="49">
        <f t="shared" si="1"/>
        <v>22725</v>
      </c>
    </row>
    <row r="22" spans="1:12" x14ac:dyDescent="0.3">
      <c r="A22" s="45">
        <v>14</v>
      </c>
      <c r="B22" s="46" t="s">
        <v>33</v>
      </c>
      <c r="C22" s="47">
        <v>7</v>
      </c>
      <c r="D22" s="48">
        <v>2865</v>
      </c>
      <c r="E22" s="49">
        <f t="shared" si="1"/>
        <v>20055</v>
      </c>
    </row>
    <row r="23" spans="1:12" x14ac:dyDescent="0.3">
      <c r="A23" s="45">
        <v>15</v>
      </c>
      <c r="B23" s="46" t="s">
        <v>34</v>
      </c>
      <c r="C23" s="47">
        <v>7</v>
      </c>
      <c r="D23" s="48">
        <v>1545</v>
      </c>
      <c r="E23" s="49">
        <f t="shared" si="1"/>
        <v>10815</v>
      </c>
    </row>
    <row r="24" spans="1:12" x14ac:dyDescent="0.3">
      <c r="A24" s="45">
        <v>16</v>
      </c>
      <c r="B24" s="46" t="s">
        <v>35</v>
      </c>
      <c r="C24" s="47">
        <v>7</v>
      </c>
      <c r="D24" s="48">
        <v>1525</v>
      </c>
      <c r="E24" s="49">
        <f t="shared" si="1"/>
        <v>10675</v>
      </c>
    </row>
    <row r="25" spans="1:12" x14ac:dyDescent="0.3">
      <c r="A25" s="45">
        <v>17</v>
      </c>
      <c r="B25" s="46" t="s">
        <v>36</v>
      </c>
      <c r="C25" s="47">
        <v>7</v>
      </c>
      <c r="D25" s="48">
        <v>1680</v>
      </c>
      <c r="E25" s="49">
        <f t="shared" si="1"/>
        <v>11760</v>
      </c>
    </row>
    <row r="26" spans="1:12" x14ac:dyDescent="0.3">
      <c r="A26" s="45">
        <v>18</v>
      </c>
      <c r="B26" s="46" t="s">
        <v>37</v>
      </c>
      <c r="C26" s="47">
        <v>7</v>
      </c>
      <c r="D26" s="48">
        <v>845</v>
      </c>
      <c r="E26" s="49">
        <f t="shared" si="1"/>
        <v>5915</v>
      </c>
    </row>
    <row r="27" spans="1:12" x14ac:dyDescent="0.3">
      <c r="A27" s="45">
        <v>19</v>
      </c>
      <c r="B27" s="46" t="s">
        <v>38</v>
      </c>
      <c r="C27" s="47">
        <v>7</v>
      </c>
      <c r="D27" s="48">
        <v>825</v>
      </c>
      <c r="E27" s="49">
        <f t="shared" si="1"/>
        <v>5775</v>
      </c>
    </row>
    <row r="28" spans="1:12" x14ac:dyDescent="0.3">
      <c r="A28" s="45">
        <v>20</v>
      </c>
      <c r="B28" s="46" t="s">
        <v>39</v>
      </c>
      <c r="C28" s="47">
        <v>30</v>
      </c>
      <c r="D28" s="48">
        <v>575</v>
      </c>
      <c r="E28" s="49">
        <f t="shared" si="1"/>
        <v>17250</v>
      </c>
    </row>
    <row r="29" spans="1:12" x14ac:dyDescent="0.3">
      <c r="A29" s="45">
        <v>21</v>
      </c>
      <c r="B29" s="46" t="s">
        <v>40</v>
      </c>
      <c r="C29" s="47">
        <v>7</v>
      </c>
      <c r="D29" s="48">
        <v>3495</v>
      </c>
      <c r="E29" s="49">
        <f t="shared" si="1"/>
        <v>24465</v>
      </c>
    </row>
    <row r="30" spans="1:12" x14ac:dyDescent="0.3">
      <c r="A30" s="45">
        <v>22</v>
      </c>
      <c r="B30" s="46" t="s">
        <v>41</v>
      </c>
      <c r="C30" s="47">
        <v>7</v>
      </c>
      <c r="D30" s="48">
        <v>3195</v>
      </c>
      <c r="E30" s="49">
        <f t="shared" si="1"/>
        <v>22365</v>
      </c>
    </row>
    <row r="31" spans="1:12" ht="15" thickBot="1" x14ac:dyDescent="0.35">
      <c r="A31" s="45"/>
      <c r="B31" s="106"/>
      <c r="C31" s="107"/>
      <c r="D31" s="108"/>
      <c r="E31" s="109">
        <f>SUM(E21:E30)</f>
        <v>151800</v>
      </c>
    </row>
    <row r="32" spans="1:12" ht="15" thickTop="1" x14ac:dyDescent="0.3">
      <c r="A32" s="2">
        <v>23</v>
      </c>
      <c r="B32" s="30" t="s">
        <v>88</v>
      </c>
      <c r="C32" s="3"/>
      <c r="D32" s="5"/>
      <c r="E32" s="6"/>
      <c r="J32" s="22"/>
      <c r="L32" s="22"/>
    </row>
    <row r="33" spans="1:12" x14ac:dyDescent="0.3">
      <c r="A33" s="45"/>
      <c r="B33" s="46" t="s">
        <v>43</v>
      </c>
      <c r="C33" s="47">
        <v>50</v>
      </c>
      <c r="D33" s="48">
        <v>3000</v>
      </c>
      <c r="E33" s="49">
        <f>C33*D33</f>
        <v>150000</v>
      </c>
      <c r="J33" s="22"/>
      <c r="L33" s="22"/>
    </row>
    <row r="34" spans="1:12" x14ac:dyDescent="0.3">
      <c r="A34" s="45"/>
      <c r="B34" s="46" t="s">
        <v>44</v>
      </c>
      <c r="C34" s="47">
        <v>50</v>
      </c>
      <c r="D34" s="48">
        <v>6000</v>
      </c>
      <c r="E34" s="49">
        <f t="shared" ref="E34:E36" si="2">C34*D34</f>
        <v>300000</v>
      </c>
      <c r="J34" s="22"/>
      <c r="L34" s="22"/>
    </row>
    <row r="35" spans="1:12" x14ac:dyDescent="0.3">
      <c r="A35" s="45"/>
      <c r="B35" s="46" t="s">
        <v>45</v>
      </c>
      <c r="C35" s="47">
        <v>50</v>
      </c>
      <c r="D35" s="48">
        <v>7000</v>
      </c>
      <c r="E35" s="49">
        <f t="shared" si="2"/>
        <v>350000</v>
      </c>
      <c r="J35" s="22"/>
      <c r="L35" s="22"/>
    </row>
    <row r="36" spans="1:12" x14ac:dyDescent="0.3">
      <c r="A36" s="45"/>
      <c r="B36" s="46" t="s">
        <v>46</v>
      </c>
      <c r="C36" s="47">
        <v>50</v>
      </c>
      <c r="D36" s="48">
        <v>4500</v>
      </c>
      <c r="E36" s="49">
        <f t="shared" si="2"/>
        <v>225000</v>
      </c>
      <c r="J36" s="22"/>
      <c r="L36" s="22"/>
    </row>
    <row r="37" spans="1:12" x14ac:dyDescent="0.3">
      <c r="A37" s="198"/>
      <c r="B37" s="198"/>
      <c r="C37" s="198"/>
      <c r="D37" s="198"/>
      <c r="E37" s="29">
        <f>SUM(E33:E36)</f>
        <v>1025000</v>
      </c>
    </row>
    <row r="38" spans="1:12" x14ac:dyDescent="0.3">
      <c r="A38" s="2">
        <v>24</v>
      </c>
      <c r="B38" s="118" t="s">
        <v>89</v>
      </c>
    </row>
    <row r="39" spans="1:12" x14ac:dyDescent="0.3">
      <c r="A39" s="119"/>
      <c r="B39" s="119" t="s">
        <v>89</v>
      </c>
      <c r="C39" s="119"/>
      <c r="D39" s="119"/>
      <c r="E39" s="121">
        <v>200000</v>
      </c>
    </row>
    <row r="40" spans="1:12" ht="15" thickBot="1" x14ac:dyDescent="0.35">
      <c r="A40" s="117"/>
      <c r="B40" s="117"/>
      <c r="C40" s="117"/>
      <c r="D40" s="117"/>
      <c r="E40" s="120">
        <v>200000</v>
      </c>
    </row>
    <row r="41" spans="1:12" ht="15" thickTop="1" x14ac:dyDescent="0.3"/>
    <row r="42" spans="1:12" ht="15" thickBot="1" x14ac:dyDescent="0.35">
      <c r="B42" s="123" t="s">
        <v>81</v>
      </c>
      <c r="C42" s="123"/>
      <c r="D42" s="123"/>
      <c r="E42" s="120">
        <f>E40+E37+E31+E19+E7</f>
        <v>3345575</v>
      </c>
    </row>
    <row r="43" spans="1:12" ht="15" thickTop="1" x14ac:dyDescent="0.3"/>
    <row r="45" spans="1:12" x14ac:dyDescent="0.3">
      <c r="E45" s="79"/>
    </row>
  </sheetData>
  <mergeCells count="2">
    <mergeCell ref="A37:D37"/>
    <mergeCell ref="A1:E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workbookViewId="0">
      <selection activeCell="I28" sqref="I28:J28"/>
    </sheetView>
  </sheetViews>
  <sheetFormatPr defaultRowHeight="14.4" x14ac:dyDescent="0.3"/>
  <cols>
    <col min="2" max="2" width="37.33203125" bestFit="1" customWidth="1"/>
    <col min="3" max="3" width="10.6640625" customWidth="1"/>
    <col min="4" max="4" width="11.33203125" customWidth="1"/>
    <col min="5" max="5" width="10.5546875" bestFit="1" customWidth="1"/>
    <col min="6" max="6" width="5.33203125" customWidth="1"/>
    <col min="7" max="7" width="9.6640625" bestFit="1" customWidth="1"/>
    <col min="8" max="8" width="9.5546875" bestFit="1" customWidth="1"/>
    <col min="9" max="9" width="4.5546875" customWidth="1"/>
    <col min="10" max="11" width="9" bestFit="1" customWidth="1"/>
  </cols>
  <sheetData>
    <row r="1" spans="1:11" ht="24" thickBot="1" x14ac:dyDescent="0.35">
      <c r="A1" s="204" t="s">
        <v>71</v>
      </c>
      <c r="B1" s="204"/>
      <c r="C1" s="204"/>
      <c r="D1" s="204"/>
      <c r="E1" s="204"/>
      <c r="F1" s="122"/>
    </row>
    <row r="2" spans="1:11" s="7" customFormat="1" ht="28.5" customHeight="1" x14ac:dyDescent="0.3">
      <c r="A2" s="37" t="s">
        <v>4</v>
      </c>
      <c r="B2" s="38" t="s">
        <v>0</v>
      </c>
      <c r="C2" s="7" t="s">
        <v>1</v>
      </c>
      <c r="D2" s="39" t="s">
        <v>3</v>
      </c>
      <c r="E2" s="16" t="s">
        <v>2</v>
      </c>
      <c r="F2" s="41"/>
      <c r="G2" s="136" t="s">
        <v>91</v>
      </c>
      <c r="H2" s="67" t="s">
        <v>90</v>
      </c>
      <c r="J2" s="42" t="s">
        <v>92</v>
      </c>
      <c r="K2" s="41" t="s">
        <v>2</v>
      </c>
    </row>
    <row r="3" spans="1:11" s="7" customFormat="1" ht="15.6" x14ac:dyDescent="0.3">
      <c r="A3" s="41"/>
      <c r="B3" s="42"/>
      <c r="C3" s="43"/>
      <c r="D3" s="41"/>
      <c r="E3" s="126"/>
      <c r="F3" s="41"/>
      <c r="G3" s="131"/>
      <c r="H3" s="124"/>
      <c r="J3" s="41"/>
      <c r="K3" s="41"/>
    </row>
    <row r="4" spans="1:11" x14ac:dyDescent="0.3">
      <c r="A4" s="113"/>
      <c r="B4" s="115" t="s">
        <v>65</v>
      </c>
      <c r="C4" s="110"/>
      <c r="D4" s="111"/>
      <c r="E4" s="129"/>
      <c r="F4" s="119"/>
      <c r="G4" s="132"/>
      <c r="H4" s="125"/>
      <c r="J4" s="119"/>
      <c r="K4" s="119"/>
    </row>
    <row r="5" spans="1:11" x14ac:dyDescent="0.3">
      <c r="A5" s="45">
        <v>3</v>
      </c>
      <c r="B5" s="46" t="s">
        <v>22</v>
      </c>
      <c r="C5" s="47">
        <v>250</v>
      </c>
      <c r="D5" s="48">
        <v>1500</v>
      </c>
      <c r="E5" s="127">
        <f>C5*D5</f>
        <v>375000</v>
      </c>
      <c r="F5" s="119"/>
      <c r="G5" s="133">
        <v>66</v>
      </c>
      <c r="H5" s="134">
        <f>+D5*G5</f>
        <v>99000</v>
      </c>
      <c r="I5" s="118"/>
      <c r="J5" s="138">
        <f>+C5-G5</f>
        <v>184</v>
      </c>
      <c r="K5" s="138">
        <f>+J5*D5</f>
        <v>276000</v>
      </c>
    </row>
    <row r="6" spans="1:11" x14ac:dyDescent="0.3">
      <c r="A6" s="45">
        <v>4</v>
      </c>
      <c r="B6" s="46" t="s">
        <v>23</v>
      </c>
      <c r="C6" s="47">
        <v>10000</v>
      </c>
      <c r="D6" s="48"/>
      <c r="E6" s="127">
        <v>180000</v>
      </c>
      <c r="F6" s="119"/>
      <c r="G6" s="133"/>
      <c r="H6" s="134"/>
      <c r="I6" s="118"/>
      <c r="J6" s="137"/>
      <c r="K6" s="137"/>
    </row>
    <row r="7" spans="1:11" ht="28.8" x14ac:dyDescent="0.3">
      <c r="A7" s="45">
        <v>5</v>
      </c>
      <c r="B7" s="46" t="s">
        <v>24</v>
      </c>
      <c r="C7" s="47">
        <v>2389</v>
      </c>
      <c r="D7" s="48"/>
      <c r="E7" s="127">
        <v>64395</v>
      </c>
      <c r="F7" s="119"/>
      <c r="G7" s="133"/>
      <c r="H7" s="134"/>
      <c r="I7" s="118"/>
      <c r="J7" s="137"/>
      <c r="K7" s="137"/>
    </row>
    <row r="8" spans="1:11" x14ac:dyDescent="0.3">
      <c r="A8" s="45">
        <v>6</v>
      </c>
      <c r="B8" s="46" t="s">
        <v>25</v>
      </c>
      <c r="C8" s="139">
        <v>4</v>
      </c>
      <c r="D8" s="47">
        <v>9000</v>
      </c>
      <c r="E8" s="127">
        <f>+C8*D8</f>
        <v>36000</v>
      </c>
      <c r="F8" s="119"/>
      <c r="G8" s="133"/>
      <c r="H8" s="134"/>
      <c r="I8" s="118"/>
      <c r="J8" s="137"/>
      <c r="K8" s="137"/>
    </row>
    <row r="9" spans="1:11" x14ac:dyDescent="0.3">
      <c r="A9" s="45">
        <v>7</v>
      </c>
      <c r="B9" s="46" t="s">
        <v>26</v>
      </c>
      <c r="C9" s="139">
        <v>25</v>
      </c>
      <c r="D9" s="47">
        <v>4150</v>
      </c>
      <c r="E9" s="127">
        <f>+C9*D9</f>
        <v>103750</v>
      </c>
      <c r="F9" s="119"/>
      <c r="G9" s="133">
        <v>17</v>
      </c>
      <c r="H9" s="135">
        <f>+G9*D9</f>
        <v>70550</v>
      </c>
      <c r="I9" s="118"/>
      <c r="J9" s="138">
        <f>+C9-G9</f>
        <v>8</v>
      </c>
      <c r="K9" s="138">
        <f>+J9*D9</f>
        <v>33200</v>
      </c>
    </row>
    <row r="10" spans="1:11" x14ac:dyDescent="0.3">
      <c r="A10" s="45">
        <v>8</v>
      </c>
      <c r="B10" s="46" t="s">
        <v>27</v>
      </c>
      <c r="C10" s="47">
        <v>15</v>
      </c>
      <c r="D10" s="48">
        <v>2880</v>
      </c>
      <c r="E10" s="127">
        <f t="shared" ref="E10:E26" si="0">C10*D10</f>
        <v>43200</v>
      </c>
      <c r="F10" s="119"/>
      <c r="G10" s="133"/>
      <c r="H10" s="134"/>
      <c r="I10" s="118"/>
      <c r="J10" s="137"/>
      <c r="K10" s="137"/>
    </row>
    <row r="11" spans="1:11" x14ac:dyDescent="0.3">
      <c r="A11" s="45">
        <v>9</v>
      </c>
      <c r="B11" s="46" t="s">
        <v>28</v>
      </c>
      <c r="C11" s="47">
        <v>9</v>
      </c>
      <c r="D11" s="48">
        <v>4400</v>
      </c>
      <c r="E11" s="127">
        <f t="shared" si="0"/>
        <v>39600</v>
      </c>
      <c r="F11" s="119"/>
      <c r="G11" s="133"/>
      <c r="H11" s="134"/>
      <c r="I11" s="118"/>
      <c r="J11" s="137"/>
      <c r="K11" s="137"/>
    </row>
    <row r="12" spans="1:11" x14ac:dyDescent="0.3">
      <c r="A12" s="45">
        <v>10</v>
      </c>
      <c r="B12" s="46" t="s">
        <v>29</v>
      </c>
      <c r="C12" s="47">
        <v>9</v>
      </c>
      <c r="D12" s="48">
        <v>5650</v>
      </c>
      <c r="E12" s="127">
        <f t="shared" si="0"/>
        <v>50850</v>
      </c>
      <c r="F12" s="119"/>
      <c r="G12" s="133">
        <v>7</v>
      </c>
      <c r="H12" s="135">
        <f>+G12*D12</f>
        <v>39550</v>
      </c>
      <c r="I12" s="118"/>
      <c r="J12" s="138">
        <f>+C12-G12</f>
        <v>2</v>
      </c>
      <c r="K12" s="138">
        <f>+J12*D12</f>
        <v>11300</v>
      </c>
    </row>
    <row r="13" spans="1:11" x14ac:dyDescent="0.3">
      <c r="A13" s="45">
        <v>11</v>
      </c>
      <c r="B13" s="46" t="s">
        <v>30</v>
      </c>
      <c r="C13" s="47">
        <v>8</v>
      </c>
      <c r="D13" s="48">
        <v>16685</v>
      </c>
      <c r="E13" s="127">
        <f t="shared" si="0"/>
        <v>133480</v>
      </c>
      <c r="F13" s="119"/>
      <c r="G13" s="133"/>
      <c r="H13" s="134"/>
      <c r="I13" s="118"/>
      <c r="J13" s="137"/>
      <c r="K13" s="137"/>
    </row>
    <row r="14" spans="1:11" x14ac:dyDescent="0.3">
      <c r="A14" s="45">
        <v>12</v>
      </c>
      <c r="B14" s="46" t="s">
        <v>31</v>
      </c>
      <c r="C14" s="47">
        <v>300</v>
      </c>
      <c r="D14" s="48">
        <v>350</v>
      </c>
      <c r="E14" s="127">
        <f t="shared" si="0"/>
        <v>105000</v>
      </c>
      <c r="F14" s="119"/>
      <c r="G14" s="133"/>
      <c r="H14" s="134"/>
      <c r="I14" s="118"/>
      <c r="J14" s="137"/>
      <c r="K14" s="137"/>
    </row>
    <row r="15" spans="1:11" ht="15" thickBot="1" x14ac:dyDescent="0.35">
      <c r="A15" s="45"/>
      <c r="B15" s="106"/>
      <c r="C15" s="107"/>
      <c r="D15" s="108"/>
      <c r="E15" s="128">
        <f>SUM(E5:E14)</f>
        <v>1131275</v>
      </c>
      <c r="F15" s="119"/>
      <c r="G15" s="133"/>
      <c r="H15" s="134"/>
      <c r="I15" s="118"/>
      <c r="J15" s="137"/>
      <c r="K15" s="137"/>
    </row>
    <row r="16" spans="1:11" ht="15" thickTop="1" x14ac:dyDescent="0.3">
      <c r="A16" s="45"/>
      <c r="B16" s="115" t="s">
        <v>66</v>
      </c>
      <c r="C16" s="104"/>
      <c r="D16" s="105"/>
      <c r="E16" s="130"/>
      <c r="F16" s="119"/>
      <c r="G16" s="133"/>
      <c r="H16" s="134"/>
      <c r="I16" s="118"/>
      <c r="J16" s="137"/>
      <c r="K16" s="137"/>
    </row>
    <row r="17" spans="1:11" x14ac:dyDescent="0.3">
      <c r="A17" s="45">
        <v>13</v>
      </c>
      <c r="B17" s="46" t="s">
        <v>32</v>
      </c>
      <c r="C17" s="47">
        <v>9</v>
      </c>
      <c r="D17" s="48">
        <v>2525</v>
      </c>
      <c r="E17" s="127">
        <f t="shared" si="0"/>
        <v>22725</v>
      </c>
      <c r="F17" s="119"/>
      <c r="G17" s="133">
        <v>5</v>
      </c>
      <c r="H17" s="135">
        <f>+G17*D17</f>
        <v>12625</v>
      </c>
      <c r="I17" s="118"/>
      <c r="J17" s="138">
        <f>+C17-G17</f>
        <v>4</v>
      </c>
      <c r="K17" s="138">
        <f>+J17*D17</f>
        <v>10100</v>
      </c>
    </row>
    <row r="18" spans="1:11" x14ac:dyDescent="0.3">
      <c r="A18" s="45">
        <v>14</v>
      </c>
      <c r="B18" s="46" t="s">
        <v>33</v>
      </c>
      <c r="C18" s="47">
        <v>7</v>
      </c>
      <c r="D18" s="48">
        <v>2865</v>
      </c>
      <c r="E18" s="127">
        <f t="shared" si="0"/>
        <v>20055</v>
      </c>
      <c r="F18" s="119"/>
      <c r="G18" s="132"/>
      <c r="H18" s="125"/>
      <c r="J18" s="119"/>
      <c r="K18" s="119"/>
    </row>
    <row r="19" spans="1:11" x14ac:dyDescent="0.3">
      <c r="A19" s="45">
        <v>15</v>
      </c>
      <c r="B19" s="46" t="s">
        <v>34</v>
      </c>
      <c r="C19" s="47">
        <v>7</v>
      </c>
      <c r="D19" s="48">
        <v>1545</v>
      </c>
      <c r="E19" s="127">
        <f t="shared" si="0"/>
        <v>10815</v>
      </c>
      <c r="F19" s="119"/>
      <c r="G19" s="132"/>
      <c r="H19" s="125"/>
      <c r="J19" s="119"/>
      <c r="K19" s="119"/>
    </row>
    <row r="20" spans="1:11" x14ac:dyDescent="0.3">
      <c r="A20" s="45">
        <v>16</v>
      </c>
      <c r="B20" s="46" t="s">
        <v>35</v>
      </c>
      <c r="C20" s="47">
        <v>7</v>
      </c>
      <c r="D20" s="48">
        <v>1525</v>
      </c>
      <c r="E20" s="127">
        <f t="shared" si="0"/>
        <v>10675</v>
      </c>
      <c r="F20" s="119"/>
      <c r="G20" s="132"/>
      <c r="H20" s="125"/>
      <c r="J20" s="119"/>
      <c r="K20" s="119"/>
    </row>
    <row r="21" spans="1:11" x14ac:dyDescent="0.3">
      <c r="A21" s="45">
        <v>17</v>
      </c>
      <c r="B21" s="46" t="s">
        <v>36</v>
      </c>
      <c r="C21" s="47">
        <v>7</v>
      </c>
      <c r="D21" s="48">
        <v>1680</v>
      </c>
      <c r="E21" s="127">
        <f t="shared" si="0"/>
        <v>11760</v>
      </c>
      <c r="F21" s="119"/>
      <c r="G21" s="132"/>
      <c r="H21" s="125"/>
      <c r="J21" s="119"/>
      <c r="K21" s="119"/>
    </row>
    <row r="22" spans="1:11" x14ac:dyDescent="0.3">
      <c r="A22" s="45">
        <v>18</v>
      </c>
      <c r="B22" s="46" t="s">
        <v>37</v>
      </c>
      <c r="C22" s="47">
        <v>7</v>
      </c>
      <c r="D22" s="48">
        <v>845</v>
      </c>
      <c r="E22" s="127">
        <f t="shared" si="0"/>
        <v>5915</v>
      </c>
      <c r="F22" s="119"/>
      <c r="G22" s="132"/>
      <c r="H22" s="125"/>
      <c r="J22" s="119"/>
      <c r="K22" s="119"/>
    </row>
    <row r="23" spans="1:11" x14ac:dyDescent="0.3">
      <c r="A23" s="45">
        <v>19</v>
      </c>
      <c r="B23" s="46" t="s">
        <v>38</v>
      </c>
      <c r="C23" s="47">
        <v>7</v>
      </c>
      <c r="D23" s="48">
        <v>825</v>
      </c>
      <c r="E23" s="127">
        <f t="shared" si="0"/>
        <v>5775</v>
      </c>
      <c r="F23" s="119"/>
      <c r="G23" s="132"/>
      <c r="H23" s="125"/>
      <c r="J23" s="119"/>
      <c r="K23" s="119"/>
    </row>
    <row r="24" spans="1:11" x14ac:dyDescent="0.3">
      <c r="A24" s="45">
        <v>20</v>
      </c>
      <c r="B24" s="46" t="s">
        <v>39</v>
      </c>
      <c r="C24" s="47">
        <v>30</v>
      </c>
      <c r="D24" s="48">
        <v>575</v>
      </c>
      <c r="E24" s="127">
        <f t="shared" si="0"/>
        <v>17250</v>
      </c>
      <c r="F24" s="119"/>
      <c r="G24" s="132"/>
      <c r="H24" s="125"/>
      <c r="J24" s="119"/>
      <c r="K24" s="119"/>
    </row>
    <row r="25" spans="1:11" x14ac:dyDescent="0.3">
      <c r="A25" s="45">
        <v>21</v>
      </c>
      <c r="B25" s="46" t="s">
        <v>40</v>
      </c>
      <c r="C25" s="47">
        <v>7</v>
      </c>
      <c r="D25" s="48">
        <v>3495</v>
      </c>
      <c r="E25" s="127">
        <f t="shared" si="0"/>
        <v>24465</v>
      </c>
      <c r="F25" s="119"/>
      <c r="G25" s="132"/>
      <c r="H25" s="125"/>
      <c r="J25" s="119"/>
      <c r="K25" s="119"/>
    </row>
    <row r="26" spans="1:11" x14ac:dyDescent="0.3">
      <c r="A26" s="45">
        <v>22</v>
      </c>
      <c r="B26" s="46" t="s">
        <v>41</v>
      </c>
      <c r="C26" s="47">
        <v>7</v>
      </c>
      <c r="D26" s="48">
        <v>3195</v>
      </c>
      <c r="E26" s="127">
        <f t="shared" si="0"/>
        <v>22365</v>
      </c>
      <c r="F26" s="119"/>
      <c r="G26" s="132"/>
      <c r="H26" s="125"/>
      <c r="J26" s="119"/>
      <c r="K26" s="119"/>
    </row>
    <row r="27" spans="1:11" ht="15" thickBot="1" x14ac:dyDescent="0.35">
      <c r="A27" s="45"/>
      <c r="B27" s="106"/>
      <c r="C27" s="107"/>
      <c r="D27" s="108"/>
      <c r="E27" s="128">
        <f>SUM(E17:E26)</f>
        <v>151800</v>
      </c>
      <c r="F27" s="119"/>
      <c r="G27" s="132"/>
      <c r="H27" s="125"/>
      <c r="J27" s="119"/>
      <c r="K27" s="119"/>
    </row>
    <row r="28" spans="1:11" ht="15" thickTop="1" x14ac:dyDescent="0.3">
      <c r="A28" s="198"/>
      <c r="B28" s="198"/>
      <c r="C28" s="198"/>
      <c r="D28" s="198"/>
      <c r="E28" s="29">
        <f>+E27+E15</f>
        <v>1283075</v>
      </c>
      <c r="F28" s="119"/>
      <c r="G28" s="132"/>
      <c r="H28" s="125"/>
      <c r="J28" s="119"/>
      <c r="K28" s="119"/>
    </row>
    <row r="31" spans="1:11" x14ac:dyDescent="0.3">
      <c r="E31" s="79"/>
    </row>
  </sheetData>
  <mergeCells count="2">
    <mergeCell ref="A1:E1"/>
    <mergeCell ref="A28:D28"/>
  </mergeCells>
  <pageMargins left="0.19685039370078741" right="0.11811023622047245" top="0.35433070866141736" bottom="0" header="0.31496062992125984" footer="0.31496062992125984"/>
  <pageSetup orientation="landscape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3"/>
  <sheetViews>
    <sheetView topLeftCell="A4" workbookViewId="0">
      <selection activeCell="E30" activeCellId="2" sqref="E12 E24 E30"/>
    </sheetView>
  </sheetViews>
  <sheetFormatPr defaultRowHeight="14.4" x14ac:dyDescent="0.3"/>
  <cols>
    <col min="2" max="2" width="37.33203125" bestFit="1" customWidth="1"/>
    <col min="3" max="3" width="10.6640625" customWidth="1"/>
    <col min="4" max="4" width="11.33203125" customWidth="1"/>
    <col min="5" max="5" width="10.5546875" bestFit="1" customWidth="1"/>
    <col min="6" max="6" width="5.33203125" customWidth="1"/>
    <col min="7" max="7" width="9.6640625" bestFit="1" customWidth="1"/>
    <col min="8" max="8" width="9.5546875" bestFit="1" customWidth="1"/>
    <col min="9" max="9" width="4.5546875" customWidth="1"/>
    <col min="10" max="11" width="9" bestFit="1" customWidth="1"/>
  </cols>
  <sheetData>
    <row r="1" spans="1:11" ht="24" thickBot="1" x14ac:dyDescent="0.35">
      <c r="A1" s="204" t="s">
        <v>71</v>
      </c>
      <c r="B1" s="204"/>
      <c r="C1" s="204"/>
      <c r="D1" s="204"/>
      <c r="E1" s="204"/>
      <c r="F1" s="122"/>
    </row>
    <row r="2" spans="1:11" s="7" customFormat="1" ht="28.5" customHeight="1" x14ac:dyDescent="0.3">
      <c r="A2" s="37" t="s">
        <v>4</v>
      </c>
      <c r="B2" s="38" t="s">
        <v>0</v>
      </c>
      <c r="C2" s="7" t="s">
        <v>1</v>
      </c>
      <c r="D2" s="39" t="s">
        <v>3</v>
      </c>
      <c r="E2" s="16" t="s">
        <v>2</v>
      </c>
      <c r="F2" s="41"/>
      <c r="G2" s="136" t="s">
        <v>91</v>
      </c>
      <c r="H2" s="67" t="s">
        <v>90</v>
      </c>
      <c r="J2" s="42" t="s">
        <v>92</v>
      </c>
      <c r="K2" s="41" t="s">
        <v>2</v>
      </c>
    </row>
    <row r="3" spans="1:11" s="7" customFormat="1" ht="15.6" x14ac:dyDescent="0.3">
      <c r="A3" s="41"/>
      <c r="B3" s="42"/>
      <c r="C3" s="43"/>
      <c r="D3" s="41"/>
      <c r="E3" s="126"/>
      <c r="F3" s="41"/>
      <c r="G3" s="131"/>
      <c r="H3" s="124"/>
      <c r="J3" s="41"/>
      <c r="K3" s="41"/>
    </row>
    <row r="4" spans="1:11" x14ac:dyDescent="0.3">
      <c r="A4" s="113"/>
      <c r="B4" s="115" t="s">
        <v>65</v>
      </c>
      <c r="C4" s="110"/>
      <c r="D4" s="111"/>
      <c r="E4" s="129"/>
      <c r="F4" s="119"/>
      <c r="G4" s="132"/>
      <c r="H4" s="125"/>
      <c r="J4" s="119"/>
      <c r="K4" s="119"/>
    </row>
    <row r="5" spans="1:11" x14ac:dyDescent="0.3">
      <c r="A5" s="45">
        <v>1</v>
      </c>
      <c r="B5" s="46" t="s">
        <v>23</v>
      </c>
      <c r="C5" s="47">
        <v>10000</v>
      </c>
      <c r="D5" s="48"/>
      <c r="E5" s="127">
        <v>180000</v>
      </c>
      <c r="F5" s="119"/>
      <c r="G5" s="133"/>
      <c r="H5" s="134"/>
      <c r="I5" s="118"/>
      <c r="J5" s="137"/>
      <c r="K5" s="137"/>
    </row>
    <row r="6" spans="1:11" ht="28.8" x14ac:dyDescent="0.3">
      <c r="A6" s="45">
        <v>2</v>
      </c>
      <c r="B6" s="46" t="s">
        <v>24</v>
      </c>
      <c r="C6" s="47">
        <v>2389</v>
      </c>
      <c r="D6" s="48"/>
      <c r="E6" s="127">
        <v>64395</v>
      </c>
      <c r="F6" s="119"/>
      <c r="G6" s="133"/>
      <c r="H6" s="134"/>
      <c r="I6" s="118"/>
      <c r="J6" s="137"/>
      <c r="K6" s="137"/>
    </row>
    <row r="7" spans="1:11" x14ac:dyDescent="0.3">
      <c r="A7" s="45">
        <v>3</v>
      </c>
      <c r="B7" s="46" t="s">
        <v>26</v>
      </c>
      <c r="C7" s="139">
        <v>25</v>
      </c>
      <c r="D7" s="47">
        <v>4150</v>
      </c>
      <c r="E7" s="127">
        <f>+C7*D7</f>
        <v>103750</v>
      </c>
      <c r="F7" s="119"/>
      <c r="G7" s="133">
        <v>17</v>
      </c>
      <c r="H7" s="135">
        <f>+G7*D7</f>
        <v>70550</v>
      </c>
      <c r="I7" s="118"/>
      <c r="J7" s="138">
        <f>+C7-G7</f>
        <v>8</v>
      </c>
      <c r="K7" s="138">
        <f>+J7*D7</f>
        <v>33200</v>
      </c>
    </row>
    <row r="8" spans="1:11" x14ac:dyDescent="0.3">
      <c r="A8" s="45">
        <v>4</v>
      </c>
      <c r="B8" s="46" t="s">
        <v>27</v>
      </c>
      <c r="C8" s="47">
        <v>15</v>
      </c>
      <c r="D8" s="48">
        <v>2880</v>
      </c>
      <c r="E8" s="127">
        <f t="shared" ref="E8:E23" si="0">C8*D8</f>
        <v>43200</v>
      </c>
      <c r="F8" s="119"/>
      <c r="G8" s="133"/>
      <c r="H8" s="134"/>
      <c r="I8" s="118"/>
      <c r="J8" s="137"/>
      <c r="K8" s="137"/>
    </row>
    <row r="9" spans="1:11" x14ac:dyDescent="0.3">
      <c r="A9" s="45">
        <v>5</v>
      </c>
      <c r="B9" s="46" t="s">
        <v>28</v>
      </c>
      <c r="C9" s="47">
        <v>9</v>
      </c>
      <c r="D9" s="48">
        <v>4400</v>
      </c>
      <c r="E9" s="127">
        <f t="shared" si="0"/>
        <v>39600</v>
      </c>
      <c r="F9" s="119"/>
      <c r="G9" s="133"/>
      <c r="H9" s="134"/>
      <c r="I9" s="118"/>
      <c r="J9" s="137"/>
      <c r="K9" s="137"/>
    </row>
    <row r="10" spans="1:11" x14ac:dyDescent="0.3">
      <c r="A10" s="45">
        <v>6</v>
      </c>
      <c r="B10" s="46" t="s">
        <v>29</v>
      </c>
      <c r="C10" s="47">
        <v>9</v>
      </c>
      <c r="D10" s="48">
        <v>5650</v>
      </c>
      <c r="E10" s="127">
        <f t="shared" si="0"/>
        <v>50850</v>
      </c>
      <c r="F10" s="119"/>
      <c r="G10" s="133">
        <v>7</v>
      </c>
      <c r="H10" s="135">
        <f>+G10*D10</f>
        <v>39550</v>
      </c>
      <c r="I10" s="118"/>
      <c r="J10" s="138">
        <f>+C10-G10</f>
        <v>2</v>
      </c>
      <c r="K10" s="138">
        <f>+J10*D10</f>
        <v>11300</v>
      </c>
    </row>
    <row r="11" spans="1:11" x14ac:dyDescent="0.3">
      <c r="A11" s="45">
        <v>7</v>
      </c>
      <c r="B11" s="46" t="s">
        <v>30</v>
      </c>
      <c r="C11" s="47">
        <v>8</v>
      </c>
      <c r="D11" s="48">
        <v>16685</v>
      </c>
      <c r="E11" s="127">
        <f t="shared" si="0"/>
        <v>133480</v>
      </c>
      <c r="F11" s="119"/>
      <c r="G11" s="133"/>
      <c r="H11" s="134"/>
      <c r="I11" s="118"/>
      <c r="J11" s="137"/>
      <c r="K11" s="137"/>
    </row>
    <row r="12" spans="1:11" ht="15" thickBot="1" x14ac:dyDescent="0.35">
      <c r="A12" s="45"/>
      <c r="B12" s="106"/>
      <c r="C12" s="107"/>
      <c r="D12" s="108"/>
      <c r="E12" s="128">
        <f>SUM(E5:E11)</f>
        <v>615275</v>
      </c>
      <c r="F12" s="119"/>
      <c r="G12" s="133"/>
      <c r="H12" s="134"/>
      <c r="I12" s="118"/>
      <c r="J12" s="137"/>
      <c r="K12" s="137"/>
    </row>
    <row r="13" spans="1:11" ht="15" thickTop="1" x14ac:dyDescent="0.3">
      <c r="A13" s="45"/>
      <c r="B13" s="115" t="s">
        <v>66</v>
      </c>
      <c r="C13" s="104"/>
      <c r="D13" s="105"/>
      <c r="E13" s="130"/>
      <c r="F13" s="119"/>
      <c r="G13" s="133"/>
      <c r="H13" s="134"/>
      <c r="I13" s="118"/>
      <c r="J13" s="137"/>
      <c r="K13" s="137"/>
    </row>
    <row r="14" spans="1:11" x14ac:dyDescent="0.3">
      <c r="A14" s="45">
        <v>8</v>
      </c>
      <c r="B14" s="46" t="s">
        <v>32</v>
      </c>
      <c r="C14" s="47">
        <v>9</v>
      </c>
      <c r="D14" s="48">
        <v>2525</v>
      </c>
      <c r="E14" s="127">
        <f t="shared" si="0"/>
        <v>22725</v>
      </c>
      <c r="F14" s="119"/>
      <c r="G14" s="133">
        <v>5</v>
      </c>
      <c r="H14" s="135">
        <f>+G14*D14</f>
        <v>12625</v>
      </c>
      <c r="I14" s="118"/>
      <c r="J14" s="138">
        <f>+C14-G14</f>
        <v>4</v>
      </c>
      <c r="K14" s="138">
        <f>+J14*D14</f>
        <v>10100</v>
      </c>
    </row>
    <row r="15" spans="1:11" x14ac:dyDescent="0.3">
      <c r="A15" s="45">
        <v>9</v>
      </c>
      <c r="B15" s="46" t="s">
        <v>33</v>
      </c>
      <c r="C15" s="47">
        <v>7</v>
      </c>
      <c r="D15" s="48">
        <v>2865</v>
      </c>
      <c r="E15" s="127">
        <f t="shared" si="0"/>
        <v>20055</v>
      </c>
      <c r="F15" s="119"/>
      <c r="G15" s="132"/>
      <c r="H15" s="125"/>
      <c r="J15" s="119"/>
      <c r="K15" s="119"/>
    </row>
    <row r="16" spans="1:11" x14ac:dyDescent="0.3">
      <c r="A16" s="45">
        <v>10</v>
      </c>
      <c r="B16" s="46" t="s">
        <v>34</v>
      </c>
      <c r="C16" s="47">
        <v>7</v>
      </c>
      <c r="D16" s="48">
        <v>1545</v>
      </c>
      <c r="E16" s="127">
        <f t="shared" si="0"/>
        <v>10815</v>
      </c>
      <c r="F16" s="119"/>
      <c r="G16" s="132"/>
      <c r="H16" s="125"/>
      <c r="J16" s="119"/>
      <c r="K16" s="119"/>
    </row>
    <row r="17" spans="1:12" x14ac:dyDescent="0.3">
      <c r="A17" s="45">
        <v>11</v>
      </c>
      <c r="B17" s="46" t="s">
        <v>35</v>
      </c>
      <c r="C17" s="47">
        <v>7</v>
      </c>
      <c r="D17" s="48">
        <v>1525</v>
      </c>
      <c r="E17" s="127">
        <f t="shared" si="0"/>
        <v>10675</v>
      </c>
      <c r="F17" s="119"/>
      <c r="G17" s="132"/>
      <c r="H17" s="125"/>
      <c r="J17" s="119"/>
      <c r="K17" s="119"/>
    </row>
    <row r="18" spans="1:12" x14ac:dyDescent="0.3">
      <c r="A18" s="45">
        <v>12</v>
      </c>
      <c r="B18" s="46" t="s">
        <v>36</v>
      </c>
      <c r="C18" s="47">
        <v>7</v>
      </c>
      <c r="D18" s="48">
        <v>1680</v>
      </c>
      <c r="E18" s="127">
        <f t="shared" si="0"/>
        <v>11760</v>
      </c>
      <c r="F18" s="119"/>
      <c r="G18" s="132"/>
      <c r="H18" s="125"/>
      <c r="J18" s="119"/>
      <c r="K18" s="119"/>
    </row>
    <row r="19" spans="1:12" x14ac:dyDescent="0.3">
      <c r="A19" s="45">
        <v>13</v>
      </c>
      <c r="B19" s="46" t="s">
        <v>37</v>
      </c>
      <c r="C19" s="47">
        <v>7</v>
      </c>
      <c r="D19" s="48">
        <v>845</v>
      </c>
      <c r="E19" s="127">
        <f t="shared" si="0"/>
        <v>5915</v>
      </c>
      <c r="F19" s="119"/>
      <c r="G19" s="132"/>
      <c r="H19" s="125"/>
      <c r="J19" s="119"/>
      <c r="K19" s="119"/>
    </row>
    <row r="20" spans="1:12" x14ac:dyDescent="0.3">
      <c r="A20" s="45">
        <v>14</v>
      </c>
      <c r="B20" s="46" t="s">
        <v>38</v>
      </c>
      <c r="C20" s="47">
        <v>7</v>
      </c>
      <c r="D20" s="48">
        <v>825</v>
      </c>
      <c r="E20" s="127">
        <f t="shared" si="0"/>
        <v>5775</v>
      </c>
      <c r="F20" s="119"/>
      <c r="G20" s="132"/>
      <c r="H20" s="125"/>
      <c r="J20" s="119"/>
      <c r="K20" s="119"/>
    </row>
    <row r="21" spans="1:12" x14ac:dyDescent="0.3">
      <c r="A21" s="45">
        <v>15</v>
      </c>
      <c r="B21" s="46" t="s">
        <v>39</v>
      </c>
      <c r="C21" s="47">
        <v>30</v>
      </c>
      <c r="D21" s="48">
        <v>575</v>
      </c>
      <c r="E21" s="127">
        <f t="shared" si="0"/>
        <v>17250</v>
      </c>
      <c r="F21" s="119"/>
      <c r="G21" s="132"/>
      <c r="H21" s="125"/>
      <c r="J21" s="119"/>
      <c r="K21" s="119"/>
    </row>
    <row r="22" spans="1:12" x14ac:dyDescent="0.3">
      <c r="A22" s="45">
        <v>16</v>
      </c>
      <c r="B22" s="46" t="s">
        <v>40</v>
      </c>
      <c r="C22" s="47">
        <v>7</v>
      </c>
      <c r="D22" s="48">
        <v>3495</v>
      </c>
      <c r="E22" s="127">
        <f t="shared" si="0"/>
        <v>24465</v>
      </c>
      <c r="F22" s="119"/>
      <c r="G22" s="132"/>
      <c r="H22" s="125"/>
      <c r="J22" s="119"/>
      <c r="K22" s="119"/>
    </row>
    <row r="23" spans="1:12" x14ac:dyDescent="0.3">
      <c r="A23" s="45">
        <v>17</v>
      </c>
      <c r="B23" s="46" t="s">
        <v>41</v>
      </c>
      <c r="C23" s="47">
        <v>7</v>
      </c>
      <c r="D23" s="48">
        <v>3195</v>
      </c>
      <c r="E23" s="127">
        <f t="shared" si="0"/>
        <v>22365</v>
      </c>
      <c r="F23" s="119"/>
      <c r="G23" s="132"/>
      <c r="H23" s="125"/>
      <c r="J23" s="119"/>
      <c r="K23" s="119"/>
    </row>
    <row r="24" spans="1:12" ht="15" thickBot="1" x14ac:dyDescent="0.35">
      <c r="A24" s="45"/>
      <c r="B24" s="106"/>
      <c r="C24" s="107"/>
      <c r="D24" s="108"/>
      <c r="E24" s="128">
        <f>SUM(E14:E23)</f>
        <v>151800</v>
      </c>
      <c r="F24" s="119"/>
      <c r="G24" s="132"/>
      <c r="H24" s="125"/>
      <c r="J24" s="119"/>
      <c r="K24" s="119"/>
    </row>
    <row r="25" spans="1:12" ht="15" thickTop="1" x14ac:dyDescent="0.3">
      <c r="A25" s="2">
        <v>23</v>
      </c>
      <c r="B25" s="30" t="s">
        <v>88</v>
      </c>
      <c r="C25" s="3"/>
      <c r="D25" s="5"/>
      <c r="E25" s="6"/>
      <c r="J25" s="22"/>
      <c r="L25" s="22"/>
    </row>
    <row r="26" spans="1:12" x14ac:dyDescent="0.3">
      <c r="A26" s="45"/>
      <c r="B26" s="46" t="s">
        <v>43</v>
      </c>
      <c r="C26" s="47">
        <v>50</v>
      </c>
      <c r="D26" s="48">
        <v>3000</v>
      </c>
      <c r="E26" s="49">
        <f>C26*D26</f>
        <v>150000</v>
      </c>
      <c r="J26" s="22"/>
      <c r="L26" s="22"/>
    </row>
    <row r="27" spans="1:12" x14ac:dyDescent="0.3">
      <c r="A27" s="45"/>
      <c r="B27" s="46" t="s">
        <v>44</v>
      </c>
      <c r="C27" s="47">
        <v>50</v>
      </c>
      <c r="D27" s="48">
        <v>6000</v>
      </c>
      <c r="E27" s="49">
        <f t="shared" ref="E27:E29" si="1">C27*D27</f>
        <v>300000</v>
      </c>
      <c r="J27" s="22"/>
      <c r="L27" s="22"/>
    </row>
    <row r="28" spans="1:12" x14ac:dyDescent="0.3">
      <c r="A28" s="45"/>
      <c r="B28" s="46" t="s">
        <v>45</v>
      </c>
      <c r="C28" s="47">
        <v>50</v>
      </c>
      <c r="D28" s="48">
        <v>7000</v>
      </c>
      <c r="E28" s="49">
        <f t="shared" si="1"/>
        <v>350000</v>
      </c>
      <c r="J28" s="22"/>
      <c r="L28" s="22"/>
    </row>
    <row r="29" spans="1:12" x14ac:dyDescent="0.3">
      <c r="A29" s="45"/>
      <c r="B29" s="46" t="s">
        <v>46</v>
      </c>
      <c r="C29" s="47">
        <v>50</v>
      </c>
      <c r="D29" s="48">
        <v>4500</v>
      </c>
      <c r="E29" s="49">
        <f t="shared" si="1"/>
        <v>225000</v>
      </c>
      <c r="J29" s="22"/>
      <c r="L29" s="22"/>
    </row>
    <row r="30" spans="1:12" x14ac:dyDescent="0.3">
      <c r="A30" s="198"/>
      <c r="B30" s="198"/>
      <c r="C30" s="198"/>
      <c r="D30" s="198"/>
      <c r="E30" s="29">
        <f>SUM(E26:E29)</f>
        <v>1025000</v>
      </c>
    </row>
    <row r="33" spans="5:5" x14ac:dyDescent="0.3">
      <c r="E33" s="79"/>
    </row>
  </sheetData>
  <mergeCells count="2">
    <mergeCell ref="A1:E1"/>
    <mergeCell ref="A30:D30"/>
  </mergeCells>
  <pageMargins left="0.19685039370078741" right="0.11811023622047245" top="0.35433070866141736" bottom="0" header="0.31496062992125984" footer="0.31496062992125984"/>
  <pageSetup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3"/>
  <sheetViews>
    <sheetView workbookViewId="0">
      <selection activeCell="E30" activeCellId="2" sqref="E12 E24 E30"/>
    </sheetView>
  </sheetViews>
  <sheetFormatPr defaultRowHeight="14.4" x14ac:dyDescent="0.3"/>
  <cols>
    <col min="2" max="2" width="37.33203125" bestFit="1" customWidth="1"/>
    <col min="3" max="3" width="10.6640625" customWidth="1"/>
    <col min="4" max="4" width="11.33203125" customWidth="1"/>
    <col min="5" max="5" width="10.5546875" bestFit="1" customWidth="1"/>
    <col min="6" max="6" width="5" customWidth="1"/>
    <col min="7" max="7" width="13.33203125" customWidth="1"/>
  </cols>
  <sheetData>
    <row r="1" spans="1:10" ht="24" thickBot="1" x14ac:dyDescent="0.35">
      <c r="A1" s="204" t="s">
        <v>71</v>
      </c>
      <c r="B1" s="204"/>
      <c r="C1" s="204"/>
      <c r="D1" s="204"/>
      <c r="E1" s="204"/>
    </row>
    <row r="2" spans="1:10" s="7" customFormat="1" ht="28.5" customHeight="1" x14ac:dyDescent="0.3">
      <c r="A2" s="37" t="s">
        <v>4</v>
      </c>
      <c r="B2" s="38" t="s">
        <v>0</v>
      </c>
      <c r="C2" s="7" t="s">
        <v>1</v>
      </c>
      <c r="D2" s="39" t="s">
        <v>3</v>
      </c>
      <c r="E2" s="16" t="s">
        <v>2</v>
      </c>
      <c r="G2" s="38" t="s">
        <v>0</v>
      </c>
      <c r="H2" s="7" t="s">
        <v>1</v>
      </c>
      <c r="I2" s="39" t="s">
        <v>3</v>
      </c>
      <c r="J2" s="16" t="s">
        <v>2</v>
      </c>
    </row>
    <row r="3" spans="1:10" s="7" customFormat="1" ht="15.6" x14ac:dyDescent="0.3">
      <c r="A3" s="41"/>
      <c r="B3" s="42"/>
      <c r="C3" s="43"/>
      <c r="D3" s="41"/>
      <c r="E3" s="126"/>
    </row>
    <row r="4" spans="1:10" x14ac:dyDescent="0.3">
      <c r="A4" s="113"/>
      <c r="B4" s="115" t="s">
        <v>65</v>
      </c>
      <c r="C4" s="110"/>
      <c r="D4" s="111"/>
      <c r="E4" s="129"/>
    </row>
    <row r="5" spans="1:10" x14ac:dyDescent="0.3">
      <c r="A5" s="45">
        <v>1</v>
      </c>
      <c r="B5" s="46" t="s">
        <v>23</v>
      </c>
      <c r="C5" s="47"/>
      <c r="D5" s="47">
        <v>10000</v>
      </c>
      <c r="E5" s="127">
        <v>180000</v>
      </c>
    </row>
    <row r="6" spans="1:10" ht="28.8" x14ac:dyDescent="0.3">
      <c r="A6" s="45">
        <v>2</v>
      </c>
      <c r="B6" s="46" t="s">
        <v>24</v>
      </c>
      <c r="C6" s="47"/>
      <c r="D6" s="47">
        <v>2389</v>
      </c>
      <c r="E6" s="127">
        <v>64395</v>
      </c>
    </row>
    <row r="7" spans="1:10" x14ac:dyDescent="0.3">
      <c r="A7" s="45">
        <v>3</v>
      </c>
      <c r="B7" s="46" t="s">
        <v>26</v>
      </c>
      <c r="C7" s="139">
        <v>25</v>
      </c>
      <c r="D7" s="47">
        <v>4150</v>
      </c>
      <c r="E7" s="127">
        <f>+C7*D7</f>
        <v>103750</v>
      </c>
    </row>
    <row r="8" spans="1:10" x14ac:dyDescent="0.3">
      <c r="A8" s="45">
        <v>4</v>
      </c>
      <c r="B8" s="46" t="s">
        <v>27</v>
      </c>
      <c r="C8" s="47">
        <v>15</v>
      </c>
      <c r="D8" s="48">
        <v>2880</v>
      </c>
      <c r="E8" s="127">
        <f t="shared" ref="E8:E23" si="0">C8*D8</f>
        <v>43200</v>
      </c>
    </row>
    <row r="9" spans="1:10" x14ac:dyDescent="0.3">
      <c r="A9" s="45">
        <v>5</v>
      </c>
      <c r="B9" s="46" t="s">
        <v>28</v>
      </c>
      <c r="C9" s="47">
        <v>9</v>
      </c>
      <c r="D9" s="48">
        <v>4400</v>
      </c>
      <c r="E9" s="127">
        <f t="shared" si="0"/>
        <v>39600</v>
      </c>
    </row>
    <row r="10" spans="1:10" x14ac:dyDescent="0.3">
      <c r="A10" s="45">
        <v>6</v>
      </c>
      <c r="B10" s="46" t="s">
        <v>29</v>
      </c>
      <c r="C10" s="47">
        <v>9</v>
      </c>
      <c r="D10" s="48">
        <v>5650</v>
      </c>
      <c r="E10" s="127">
        <f t="shared" si="0"/>
        <v>50850</v>
      </c>
    </row>
    <row r="11" spans="1:10" x14ac:dyDescent="0.3">
      <c r="A11" s="45">
        <v>7</v>
      </c>
      <c r="B11" s="46" t="s">
        <v>30</v>
      </c>
      <c r="C11" s="47">
        <v>8</v>
      </c>
      <c r="D11" s="48">
        <v>16685</v>
      </c>
      <c r="E11" s="127">
        <f t="shared" si="0"/>
        <v>133480</v>
      </c>
    </row>
    <row r="12" spans="1:10" ht="15" thickBot="1" x14ac:dyDescent="0.35">
      <c r="A12" s="45"/>
      <c r="B12" s="106"/>
      <c r="C12" s="107"/>
      <c r="D12" s="108"/>
      <c r="E12" s="128">
        <f>SUM(E5:E11)</f>
        <v>615275</v>
      </c>
    </row>
    <row r="13" spans="1:10" ht="15" thickTop="1" x14ac:dyDescent="0.3">
      <c r="A13" s="45"/>
      <c r="B13" s="115" t="s">
        <v>66</v>
      </c>
      <c r="C13" s="104"/>
      <c r="D13" s="105"/>
      <c r="E13" s="130"/>
    </row>
    <row r="14" spans="1:10" x14ac:dyDescent="0.3">
      <c r="A14" s="45">
        <v>8</v>
      </c>
      <c r="B14" s="46" t="s">
        <v>32</v>
      </c>
      <c r="C14" s="47">
        <v>9</v>
      </c>
      <c r="D14" s="48">
        <v>2525</v>
      </c>
      <c r="E14" s="127">
        <f t="shared" si="0"/>
        <v>22725</v>
      </c>
    </row>
    <row r="15" spans="1:10" x14ac:dyDescent="0.3">
      <c r="A15" s="45">
        <v>9</v>
      </c>
      <c r="B15" s="46" t="s">
        <v>33</v>
      </c>
      <c r="C15" s="47">
        <v>7</v>
      </c>
      <c r="D15" s="48">
        <v>2865</v>
      </c>
      <c r="E15" s="127">
        <f t="shared" si="0"/>
        <v>20055</v>
      </c>
    </row>
    <row r="16" spans="1:10" x14ac:dyDescent="0.3">
      <c r="A16" s="45">
        <v>10</v>
      </c>
      <c r="B16" s="46" t="s">
        <v>34</v>
      </c>
      <c r="C16" s="47">
        <v>7</v>
      </c>
      <c r="D16" s="48">
        <v>1545</v>
      </c>
      <c r="E16" s="127">
        <f t="shared" si="0"/>
        <v>10815</v>
      </c>
    </row>
    <row r="17" spans="1:5" x14ac:dyDescent="0.3">
      <c r="A17" s="45">
        <v>11</v>
      </c>
      <c r="B17" s="46" t="s">
        <v>35</v>
      </c>
      <c r="C17" s="47">
        <v>7</v>
      </c>
      <c r="D17" s="48">
        <v>1525</v>
      </c>
      <c r="E17" s="127">
        <f t="shared" si="0"/>
        <v>10675</v>
      </c>
    </row>
    <row r="18" spans="1:5" x14ac:dyDescent="0.3">
      <c r="A18" s="45">
        <v>12</v>
      </c>
      <c r="B18" s="46" t="s">
        <v>36</v>
      </c>
      <c r="C18" s="47">
        <v>7</v>
      </c>
      <c r="D18" s="48">
        <v>1680</v>
      </c>
      <c r="E18" s="127">
        <f t="shared" si="0"/>
        <v>11760</v>
      </c>
    </row>
    <row r="19" spans="1:5" x14ac:dyDescent="0.3">
      <c r="A19" s="45">
        <v>13</v>
      </c>
      <c r="B19" s="46" t="s">
        <v>37</v>
      </c>
      <c r="C19" s="47">
        <v>7</v>
      </c>
      <c r="D19" s="48">
        <v>845</v>
      </c>
      <c r="E19" s="127">
        <f t="shared" si="0"/>
        <v>5915</v>
      </c>
    </row>
    <row r="20" spans="1:5" x14ac:dyDescent="0.3">
      <c r="A20" s="45">
        <v>14</v>
      </c>
      <c r="B20" s="46" t="s">
        <v>38</v>
      </c>
      <c r="C20" s="47">
        <v>7</v>
      </c>
      <c r="D20" s="48">
        <v>825</v>
      </c>
      <c r="E20" s="127">
        <f t="shared" si="0"/>
        <v>5775</v>
      </c>
    </row>
    <row r="21" spans="1:5" x14ac:dyDescent="0.3">
      <c r="A21" s="45">
        <v>15</v>
      </c>
      <c r="B21" s="46" t="s">
        <v>39</v>
      </c>
      <c r="C21" s="47">
        <v>30</v>
      </c>
      <c r="D21" s="48">
        <v>575</v>
      </c>
      <c r="E21" s="127">
        <f t="shared" si="0"/>
        <v>17250</v>
      </c>
    </row>
    <row r="22" spans="1:5" x14ac:dyDescent="0.3">
      <c r="A22" s="45">
        <v>16</v>
      </c>
      <c r="B22" s="46" t="s">
        <v>40</v>
      </c>
      <c r="C22" s="47">
        <v>7</v>
      </c>
      <c r="D22" s="48">
        <v>3495</v>
      </c>
      <c r="E22" s="127">
        <f t="shared" si="0"/>
        <v>24465</v>
      </c>
    </row>
    <row r="23" spans="1:5" x14ac:dyDescent="0.3">
      <c r="A23" s="45">
        <v>17</v>
      </c>
      <c r="B23" s="46" t="s">
        <v>41</v>
      </c>
      <c r="C23" s="47">
        <v>7</v>
      </c>
      <c r="D23" s="48">
        <v>3195</v>
      </c>
      <c r="E23" s="127">
        <f t="shared" si="0"/>
        <v>22365</v>
      </c>
    </row>
    <row r="24" spans="1:5" ht="15" thickBot="1" x14ac:dyDescent="0.35">
      <c r="A24" s="45"/>
      <c r="B24" s="106"/>
      <c r="C24" s="107"/>
      <c r="D24" s="108"/>
      <c r="E24" s="128">
        <f>SUM(E14:E23)</f>
        <v>151800</v>
      </c>
    </row>
    <row r="25" spans="1:5" ht="15" thickTop="1" x14ac:dyDescent="0.3">
      <c r="A25" s="2">
        <v>23</v>
      </c>
      <c r="B25" s="30" t="s">
        <v>88</v>
      </c>
      <c r="C25" s="3"/>
      <c r="D25" s="5"/>
      <c r="E25" s="6"/>
    </row>
    <row r="26" spans="1:5" x14ac:dyDescent="0.3">
      <c r="A26" s="45"/>
      <c r="B26" s="46" t="s">
        <v>43</v>
      </c>
      <c r="C26" s="47">
        <v>50</v>
      </c>
      <c r="D26" s="48">
        <v>3000</v>
      </c>
      <c r="E26" s="49">
        <f>C26*D26</f>
        <v>150000</v>
      </c>
    </row>
    <row r="27" spans="1:5" x14ac:dyDescent="0.3">
      <c r="A27" s="45"/>
      <c r="B27" s="46" t="s">
        <v>44</v>
      </c>
      <c r="C27" s="47">
        <v>50</v>
      </c>
      <c r="D27" s="48">
        <v>6000</v>
      </c>
      <c r="E27" s="49">
        <f t="shared" ref="E27:E29" si="1">C27*D27</f>
        <v>300000</v>
      </c>
    </row>
    <row r="28" spans="1:5" x14ac:dyDescent="0.3">
      <c r="A28" s="45"/>
      <c r="B28" s="46" t="s">
        <v>45</v>
      </c>
      <c r="C28" s="47">
        <v>50</v>
      </c>
      <c r="D28" s="48">
        <v>7000</v>
      </c>
      <c r="E28" s="49">
        <f t="shared" si="1"/>
        <v>350000</v>
      </c>
    </row>
    <row r="29" spans="1:5" x14ac:dyDescent="0.3">
      <c r="A29" s="45"/>
      <c r="B29" s="46" t="s">
        <v>46</v>
      </c>
      <c r="C29" s="47">
        <v>50</v>
      </c>
      <c r="D29" s="48">
        <v>4500</v>
      </c>
      <c r="E29" s="49">
        <f t="shared" si="1"/>
        <v>225000</v>
      </c>
    </row>
    <row r="30" spans="1:5" x14ac:dyDescent="0.3">
      <c r="A30" s="198"/>
      <c r="B30" s="198"/>
      <c r="C30" s="198"/>
      <c r="D30" s="198"/>
      <c r="E30" s="29">
        <f>SUM(E26:E29)</f>
        <v>1025000</v>
      </c>
    </row>
    <row r="33" spans="5:5" x14ac:dyDescent="0.3">
      <c r="E33" s="79"/>
    </row>
  </sheetData>
  <mergeCells count="2">
    <mergeCell ref="A1:E1"/>
    <mergeCell ref="A30:D30"/>
  </mergeCells>
  <pageMargins left="0.19685039370078741" right="0.11811023622047245" top="0.35433070866141736" bottom="0" header="0.31496062992125984" footer="0.31496062992125984"/>
  <pageSetup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4"/>
  <sheetViews>
    <sheetView zoomScale="84" zoomScaleNormal="84" workbookViewId="0">
      <selection activeCell="E64" sqref="E64"/>
    </sheetView>
  </sheetViews>
  <sheetFormatPr defaultRowHeight="14.4" x14ac:dyDescent="0.3"/>
  <cols>
    <col min="1" max="1" width="3.88671875" bestFit="1" customWidth="1"/>
    <col min="2" max="2" width="26" customWidth="1"/>
    <col min="3" max="3" width="10.6640625" customWidth="1"/>
    <col min="4" max="4" width="11.33203125" customWidth="1"/>
    <col min="5" max="5" width="10.5546875" bestFit="1" customWidth="1"/>
    <col min="6" max="6" width="5.88671875" customWidth="1"/>
    <col min="7" max="7" width="37.33203125" bestFit="1" customWidth="1"/>
    <col min="8" max="8" width="5.109375" bestFit="1" customWidth="1"/>
    <col min="9" max="9" width="10.44140625" customWidth="1"/>
    <col min="10" max="10" width="12.6640625" customWidth="1"/>
    <col min="11" max="11" width="9" bestFit="1" customWidth="1"/>
  </cols>
  <sheetData>
    <row r="1" spans="1:11" ht="24" thickBot="1" x14ac:dyDescent="0.35">
      <c r="A1" s="204" t="s">
        <v>71</v>
      </c>
      <c r="B1" s="204"/>
      <c r="C1" s="204"/>
      <c r="D1" s="204"/>
      <c r="E1" s="204"/>
      <c r="F1" s="122"/>
    </row>
    <row r="2" spans="1:11" s="7" customFormat="1" ht="28.5" customHeight="1" x14ac:dyDescent="0.3">
      <c r="A2" s="37" t="s">
        <v>4</v>
      </c>
      <c r="B2" s="38" t="s">
        <v>0</v>
      </c>
      <c r="C2" s="7" t="s">
        <v>1</v>
      </c>
      <c r="D2" s="39" t="s">
        <v>3</v>
      </c>
      <c r="E2" s="16" t="s">
        <v>2</v>
      </c>
      <c r="F2" s="126"/>
      <c r="G2" s="42" t="s">
        <v>0</v>
      </c>
      <c r="H2" s="41" t="s">
        <v>1</v>
      </c>
      <c r="I2" s="43" t="s">
        <v>3</v>
      </c>
      <c r="J2" s="41" t="s">
        <v>2</v>
      </c>
    </row>
    <row r="3" spans="1:11" s="7" customFormat="1" ht="15.6" x14ac:dyDescent="0.3">
      <c r="A3" s="41"/>
      <c r="B3" s="42"/>
      <c r="C3" s="43"/>
      <c r="D3" s="41"/>
      <c r="E3" s="126"/>
      <c r="F3" s="126"/>
      <c r="G3" s="41"/>
      <c r="H3" s="41"/>
      <c r="I3" s="41"/>
      <c r="J3" s="41"/>
    </row>
    <row r="4" spans="1:11" x14ac:dyDescent="0.3">
      <c r="A4" s="113"/>
      <c r="B4" s="115" t="s">
        <v>65</v>
      </c>
      <c r="C4" s="110"/>
      <c r="D4" s="111"/>
      <c r="E4" s="129"/>
      <c r="F4" s="140"/>
      <c r="G4" s="115"/>
      <c r="H4" s="119"/>
      <c r="I4" s="119"/>
      <c r="J4" s="119"/>
    </row>
    <row r="5" spans="1:11" x14ac:dyDescent="0.3">
      <c r="A5" s="45">
        <v>1</v>
      </c>
      <c r="B5" s="46" t="s">
        <v>22</v>
      </c>
      <c r="C5" s="47">
        <v>250</v>
      </c>
      <c r="D5" s="48">
        <v>1500</v>
      </c>
      <c r="E5" s="127">
        <f>C5*D5</f>
        <v>375000</v>
      </c>
      <c r="F5" s="140"/>
      <c r="G5" s="46" t="s">
        <v>22</v>
      </c>
      <c r="H5" s="158">
        <v>66</v>
      </c>
      <c r="I5" s="158"/>
      <c r="J5" s="159"/>
      <c r="K5" s="141"/>
    </row>
    <row r="6" spans="1:11" ht="28.8" x14ac:dyDescent="0.3">
      <c r="A6" s="45">
        <v>2</v>
      </c>
      <c r="B6" s="46" t="s">
        <v>23</v>
      </c>
      <c r="C6" s="47">
        <v>10000</v>
      </c>
      <c r="D6" s="48"/>
      <c r="E6" s="127">
        <v>180000</v>
      </c>
      <c r="F6" s="140"/>
      <c r="G6" s="46" t="s">
        <v>23</v>
      </c>
      <c r="H6" s="158"/>
      <c r="I6" s="158"/>
      <c r="J6" s="158"/>
      <c r="K6" s="118"/>
    </row>
    <row r="7" spans="1:11" ht="28.8" x14ac:dyDescent="0.3">
      <c r="A7" s="45">
        <v>3</v>
      </c>
      <c r="B7" s="46" t="s">
        <v>24</v>
      </c>
      <c r="C7" s="47">
        <v>2389</v>
      </c>
      <c r="D7" s="48"/>
      <c r="E7" s="127">
        <v>64395</v>
      </c>
      <c r="F7" s="140"/>
      <c r="G7" s="46" t="s">
        <v>24</v>
      </c>
      <c r="H7" s="158"/>
      <c r="I7" s="158"/>
      <c r="J7" s="158"/>
      <c r="K7" s="118"/>
    </row>
    <row r="8" spans="1:11" x14ac:dyDescent="0.3">
      <c r="A8" s="45">
        <v>4</v>
      </c>
      <c r="B8" s="46" t="s">
        <v>25</v>
      </c>
      <c r="C8" s="139">
        <v>4</v>
      </c>
      <c r="D8" s="47">
        <v>9000</v>
      </c>
      <c r="E8" s="127">
        <f>+C8*D8</f>
        <v>36000</v>
      </c>
      <c r="F8" s="140"/>
      <c r="G8" s="46" t="s">
        <v>25</v>
      </c>
      <c r="H8" s="158"/>
      <c r="I8" s="158"/>
      <c r="J8" s="158"/>
      <c r="K8" s="118"/>
    </row>
    <row r="9" spans="1:11" x14ac:dyDescent="0.3">
      <c r="A9" s="45">
        <v>5</v>
      </c>
      <c r="B9" s="46" t="s">
        <v>26</v>
      </c>
      <c r="C9" s="139">
        <v>25</v>
      </c>
      <c r="D9" s="47">
        <v>4150</v>
      </c>
      <c r="E9" s="127">
        <f>+C9*D9</f>
        <v>103750</v>
      </c>
      <c r="F9" s="140"/>
      <c r="G9" s="46" t="s">
        <v>26</v>
      </c>
      <c r="H9" s="159">
        <v>17</v>
      </c>
      <c r="I9" s="160">
        <v>1150</v>
      </c>
      <c r="J9" s="159">
        <f>+I9*H9</f>
        <v>19550</v>
      </c>
      <c r="K9" s="141"/>
    </row>
    <row r="10" spans="1:11" x14ac:dyDescent="0.3">
      <c r="A10" s="45">
        <v>6</v>
      </c>
      <c r="B10" s="46" t="s">
        <v>27</v>
      </c>
      <c r="C10" s="47">
        <v>15</v>
      </c>
      <c r="D10" s="48">
        <v>2880</v>
      </c>
      <c r="E10" s="127">
        <f t="shared" ref="E10:E27" si="0">C10*D10</f>
        <v>43200</v>
      </c>
      <c r="F10" s="140"/>
      <c r="G10" s="46" t="s">
        <v>27</v>
      </c>
      <c r="H10" s="158"/>
      <c r="I10" s="160"/>
      <c r="J10" s="158"/>
      <c r="K10" s="118"/>
    </row>
    <row r="11" spans="1:11" x14ac:dyDescent="0.3">
      <c r="A11" s="45">
        <v>7</v>
      </c>
      <c r="B11" s="46" t="s">
        <v>28</v>
      </c>
      <c r="C11" s="47">
        <v>9</v>
      </c>
      <c r="D11" s="48">
        <v>4400</v>
      </c>
      <c r="E11" s="127">
        <f t="shared" si="0"/>
        <v>39600</v>
      </c>
      <c r="F11" s="140"/>
      <c r="G11" s="46" t="s">
        <v>28</v>
      </c>
      <c r="H11" s="158"/>
      <c r="I11" s="160"/>
      <c r="J11" s="158"/>
      <c r="K11" s="118"/>
    </row>
    <row r="12" spans="1:11" x14ac:dyDescent="0.3">
      <c r="A12" s="45">
        <v>8</v>
      </c>
      <c r="B12" s="46" t="s">
        <v>29</v>
      </c>
      <c r="C12" s="47">
        <v>9</v>
      </c>
      <c r="D12" s="48">
        <v>5650</v>
      </c>
      <c r="E12" s="127">
        <f t="shared" si="0"/>
        <v>50850</v>
      </c>
      <c r="F12" s="140"/>
      <c r="G12" s="46" t="s">
        <v>29</v>
      </c>
      <c r="H12" s="159">
        <v>7</v>
      </c>
      <c r="I12" s="160">
        <v>2360</v>
      </c>
      <c r="J12" s="159">
        <f>+I12*H12</f>
        <v>16520</v>
      </c>
      <c r="K12" s="141"/>
    </row>
    <row r="13" spans="1:11" x14ac:dyDescent="0.3">
      <c r="A13" s="45">
        <v>9</v>
      </c>
      <c r="B13" s="46" t="s">
        <v>30</v>
      </c>
      <c r="C13" s="47">
        <v>8</v>
      </c>
      <c r="D13" s="48">
        <v>16685</v>
      </c>
      <c r="E13" s="127">
        <f t="shared" si="0"/>
        <v>133480</v>
      </c>
      <c r="F13" s="140"/>
      <c r="G13" s="46" t="s">
        <v>30</v>
      </c>
      <c r="H13" s="137"/>
      <c r="I13" s="155"/>
      <c r="J13" s="137"/>
      <c r="K13" s="118"/>
    </row>
    <row r="14" spans="1:11" x14ac:dyDescent="0.3">
      <c r="A14" s="45">
        <v>10</v>
      </c>
      <c r="B14" s="46" t="s">
        <v>31</v>
      </c>
      <c r="C14" s="47">
        <v>300</v>
      </c>
      <c r="D14" s="48">
        <v>350</v>
      </c>
      <c r="E14" s="127">
        <f t="shared" si="0"/>
        <v>105000</v>
      </c>
      <c r="F14" s="140"/>
      <c r="G14" s="46" t="s">
        <v>31</v>
      </c>
      <c r="H14" s="137"/>
      <c r="I14" s="155"/>
      <c r="J14" s="137"/>
      <c r="K14" s="118"/>
    </row>
    <row r="15" spans="1:11" ht="15" thickBot="1" x14ac:dyDescent="0.35">
      <c r="A15" s="45"/>
      <c r="B15" s="106"/>
      <c r="C15" s="107"/>
      <c r="D15" s="108"/>
      <c r="E15" s="128">
        <f>SUM(E5:E14)</f>
        <v>1131275</v>
      </c>
      <c r="F15" s="168"/>
      <c r="G15" s="149" t="s">
        <v>5</v>
      </c>
      <c r="H15" s="149"/>
      <c r="I15" s="156"/>
      <c r="J15" s="147">
        <f>SUM(J5:J14)</f>
        <v>36070</v>
      </c>
      <c r="K15" s="118"/>
    </row>
    <row r="16" spans="1:11" ht="15" thickTop="1" x14ac:dyDescent="0.3">
      <c r="A16" s="45"/>
      <c r="B16" s="166"/>
      <c r="C16" s="104"/>
      <c r="D16" s="105"/>
      <c r="E16" s="116"/>
      <c r="F16" s="143"/>
      <c r="G16" s="148"/>
      <c r="H16" s="148"/>
      <c r="I16" s="157"/>
      <c r="J16" s="167"/>
      <c r="K16" s="118"/>
    </row>
    <row r="17" spans="1:11" x14ac:dyDescent="0.3">
      <c r="A17" s="45"/>
      <c r="B17" s="165" t="s">
        <v>66</v>
      </c>
      <c r="C17" s="47"/>
      <c r="D17" s="48"/>
      <c r="E17" s="103"/>
      <c r="F17" s="119"/>
      <c r="G17" s="165"/>
      <c r="H17" s="137"/>
      <c r="I17" s="155"/>
      <c r="J17" s="137"/>
      <c r="K17" s="118"/>
    </row>
    <row r="18" spans="1:11" x14ac:dyDescent="0.3">
      <c r="A18" s="45">
        <v>11</v>
      </c>
      <c r="B18" s="46" t="s">
        <v>32</v>
      </c>
      <c r="C18" s="47">
        <v>9</v>
      </c>
      <c r="D18" s="48">
        <v>2525</v>
      </c>
      <c r="E18" s="127">
        <f t="shared" si="0"/>
        <v>22725</v>
      </c>
      <c r="F18" s="140"/>
      <c r="G18" s="46" t="s">
        <v>32</v>
      </c>
      <c r="H18" s="159">
        <v>5</v>
      </c>
      <c r="I18" s="160">
        <v>2850</v>
      </c>
      <c r="J18" s="159">
        <f>+I18*H18</f>
        <v>14250</v>
      </c>
      <c r="K18" s="141"/>
    </row>
    <row r="19" spans="1:11" x14ac:dyDescent="0.3">
      <c r="A19" s="45">
        <v>12</v>
      </c>
      <c r="B19" s="46" t="s">
        <v>33</v>
      </c>
      <c r="C19" s="47">
        <v>7</v>
      </c>
      <c r="D19" s="48">
        <v>2865</v>
      </c>
      <c r="E19" s="127">
        <f t="shared" si="0"/>
        <v>20055</v>
      </c>
      <c r="F19" s="140"/>
      <c r="G19" s="46" t="s">
        <v>33</v>
      </c>
      <c r="H19" s="119"/>
      <c r="I19" s="119"/>
      <c r="J19" s="119"/>
    </row>
    <row r="20" spans="1:11" x14ac:dyDescent="0.3">
      <c r="A20" s="45">
        <v>13</v>
      </c>
      <c r="B20" s="46" t="s">
        <v>34</v>
      </c>
      <c r="C20" s="47">
        <v>7</v>
      </c>
      <c r="D20" s="48">
        <v>1545</v>
      </c>
      <c r="E20" s="127">
        <f t="shared" si="0"/>
        <v>10815</v>
      </c>
      <c r="F20" s="140"/>
      <c r="G20" s="46" t="s">
        <v>34</v>
      </c>
      <c r="H20" s="119"/>
      <c r="I20" s="119"/>
      <c r="J20" s="119"/>
    </row>
    <row r="21" spans="1:11" x14ac:dyDescent="0.3">
      <c r="A21" s="45">
        <v>14</v>
      </c>
      <c r="B21" s="46" t="s">
        <v>35</v>
      </c>
      <c r="C21" s="47">
        <v>7</v>
      </c>
      <c r="D21" s="48">
        <v>1525</v>
      </c>
      <c r="E21" s="127">
        <f t="shared" si="0"/>
        <v>10675</v>
      </c>
      <c r="F21" s="140"/>
      <c r="G21" s="46" t="s">
        <v>35</v>
      </c>
      <c r="H21" s="119"/>
      <c r="I21" s="119"/>
      <c r="J21" s="119"/>
    </row>
    <row r="22" spans="1:11" x14ac:dyDescent="0.3">
      <c r="A22" s="45">
        <v>15</v>
      </c>
      <c r="B22" s="46" t="s">
        <v>36</v>
      </c>
      <c r="C22" s="47">
        <v>7</v>
      </c>
      <c r="D22" s="48">
        <v>1680</v>
      </c>
      <c r="E22" s="127">
        <f t="shared" si="0"/>
        <v>11760</v>
      </c>
      <c r="F22" s="140"/>
      <c r="G22" s="46" t="s">
        <v>36</v>
      </c>
      <c r="H22" s="119"/>
      <c r="I22" s="119"/>
      <c r="J22" s="119"/>
    </row>
    <row r="23" spans="1:11" x14ac:dyDescent="0.3">
      <c r="A23" s="45">
        <v>16</v>
      </c>
      <c r="B23" s="46" t="s">
        <v>37</v>
      </c>
      <c r="C23" s="47">
        <v>7</v>
      </c>
      <c r="D23" s="48">
        <v>845</v>
      </c>
      <c r="E23" s="127">
        <f t="shared" si="0"/>
        <v>5915</v>
      </c>
      <c r="F23" s="140"/>
      <c r="G23" s="46" t="s">
        <v>37</v>
      </c>
      <c r="H23" s="119"/>
      <c r="I23" s="119"/>
      <c r="J23" s="119"/>
    </row>
    <row r="24" spans="1:11" x14ac:dyDescent="0.3">
      <c r="A24" s="45">
        <v>17</v>
      </c>
      <c r="B24" s="46" t="s">
        <v>38</v>
      </c>
      <c r="C24" s="47">
        <v>7</v>
      </c>
      <c r="D24" s="48">
        <v>825</v>
      </c>
      <c r="E24" s="127">
        <f t="shared" si="0"/>
        <v>5775</v>
      </c>
      <c r="F24" s="140"/>
      <c r="G24" s="46" t="s">
        <v>38</v>
      </c>
      <c r="H24" s="119"/>
      <c r="I24" s="119"/>
      <c r="J24" s="119"/>
    </row>
    <row r="25" spans="1:11" x14ac:dyDescent="0.3">
      <c r="A25" s="45">
        <v>18</v>
      </c>
      <c r="B25" s="46" t="s">
        <v>39</v>
      </c>
      <c r="C25" s="47">
        <v>30</v>
      </c>
      <c r="D25" s="48">
        <v>575</v>
      </c>
      <c r="E25" s="127">
        <f t="shared" si="0"/>
        <v>17250</v>
      </c>
      <c r="F25" s="140"/>
      <c r="G25" s="46" t="s">
        <v>39</v>
      </c>
      <c r="H25" s="119"/>
      <c r="I25" s="119"/>
      <c r="J25" s="119"/>
    </row>
    <row r="26" spans="1:11" x14ac:dyDescent="0.3">
      <c r="A26" s="45">
        <v>19</v>
      </c>
      <c r="B26" s="46" t="s">
        <v>40</v>
      </c>
      <c r="C26" s="47">
        <v>7</v>
      </c>
      <c r="D26" s="48">
        <v>3495</v>
      </c>
      <c r="E26" s="127">
        <f t="shared" si="0"/>
        <v>24465</v>
      </c>
      <c r="F26" s="140"/>
      <c r="G26" s="46" t="s">
        <v>40</v>
      </c>
      <c r="H26" s="119"/>
      <c r="I26" s="119"/>
      <c r="J26" s="119"/>
    </row>
    <row r="27" spans="1:11" x14ac:dyDescent="0.3">
      <c r="A27" s="45">
        <v>20</v>
      </c>
      <c r="B27" s="46" t="s">
        <v>41</v>
      </c>
      <c r="C27" s="47">
        <v>7</v>
      </c>
      <c r="D27" s="48">
        <v>3195</v>
      </c>
      <c r="E27" s="127">
        <f t="shared" si="0"/>
        <v>22365</v>
      </c>
      <c r="F27" s="140"/>
      <c r="G27" s="46" t="s">
        <v>41</v>
      </c>
      <c r="H27" s="119"/>
      <c r="I27" s="119"/>
      <c r="J27" s="119"/>
    </row>
    <row r="28" spans="1:11" ht="15" thickBot="1" x14ac:dyDescent="0.35">
      <c r="A28" s="45"/>
      <c r="B28" s="106"/>
      <c r="C28" s="107"/>
      <c r="D28" s="108"/>
      <c r="E28" s="128">
        <f>SUM(E18:E27)</f>
        <v>151800</v>
      </c>
      <c r="F28" s="140"/>
      <c r="G28" s="149" t="s">
        <v>5</v>
      </c>
      <c r="H28" s="146"/>
      <c r="I28" s="146"/>
      <c r="J28" s="147">
        <f>SUM(J18:J27)</f>
        <v>14250</v>
      </c>
    </row>
    <row r="29" spans="1:11" ht="15" thickTop="1" x14ac:dyDescent="0.3">
      <c r="A29" s="198"/>
      <c r="B29" s="198"/>
      <c r="C29" s="198"/>
      <c r="D29" s="198"/>
      <c r="E29" s="29"/>
      <c r="F29" s="140"/>
      <c r="G29" s="143"/>
      <c r="H29" s="143"/>
      <c r="I29" s="143"/>
      <c r="J29" s="145"/>
    </row>
    <row r="30" spans="1:11" x14ac:dyDescent="0.3">
      <c r="A30" s="2"/>
      <c r="B30" s="30" t="s">
        <v>88</v>
      </c>
      <c r="C30" s="3"/>
      <c r="D30" s="5"/>
      <c r="E30" s="6"/>
      <c r="G30" s="30" t="s">
        <v>88</v>
      </c>
      <c r="H30" s="119"/>
      <c r="I30" s="119"/>
      <c r="J30" s="119"/>
    </row>
    <row r="31" spans="1:11" x14ac:dyDescent="0.3">
      <c r="A31" s="45">
        <v>21</v>
      </c>
      <c r="B31" s="46" t="s">
        <v>43</v>
      </c>
      <c r="C31" s="47">
        <v>50</v>
      </c>
      <c r="D31" s="48">
        <v>3000</v>
      </c>
      <c r="E31" s="49">
        <f>C31*D31</f>
        <v>150000</v>
      </c>
      <c r="G31" s="46" t="s">
        <v>43</v>
      </c>
      <c r="H31" s="119"/>
      <c r="I31" s="119"/>
      <c r="J31" s="119"/>
    </row>
    <row r="32" spans="1:11" x14ac:dyDescent="0.3">
      <c r="A32" s="45">
        <v>22</v>
      </c>
      <c r="B32" s="46" t="s">
        <v>44</v>
      </c>
      <c r="C32" s="47">
        <v>50</v>
      </c>
      <c r="D32" s="48">
        <v>6000</v>
      </c>
      <c r="E32" s="49">
        <f t="shared" ref="E32:E34" si="1">C32*D32</f>
        <v>300000</v>
      </c>
      <c r="G32" s="46" t="s">
        <v>44</v>
      </c>
      <c r="H32" s="119"/>
      <c r="I32" s="119"/>
      <c r="J32" s="119"/>
    </row>
    <row r="33" spans="1:10" x14ac:dyDescent="0.3">
      <c r="A33" s="45">
        <v>23</v>
      </c>
      <c r="B33" s="46" t="s">
        <v>45</v>
      </c>
      <c r="C33" s="47">
        <v>50</v>
      </c>
      <c r="D33" s="48">
        <v>7000</v>
      </c>
      <c r="E33" s="49">
        <f t="shared" si="1"/>
        <v>350000</v>
      </c>
      <c r="G33" s="46" t="s">
        <v>45</v>
      </c>
      <c r="H33" s="119"/>
      <c r="I33" s="119"/>
      <c r="J33" s="119"/>
    </row>
    <row r="34" spans="1:10" x14ac:dyDescent="0.3">
      <c r="A34" s="45">
        <v>24</v>
      </c>
      <c r="B34" s="46" t="s">
        <v>46</v>
      </c>
      <c r="C34" s="47">
        <v>50</v>
      </c>
      <c r="D34" s="48">
        <v>4500</v>
      </c>
      <c r="E34" s="49">
        <f t="shared" si="1"/>
        <v>225000</v>
      </c>
      <c r="G34" s="46" t="s">
        <v>46</v>
      </c>
      <c r="H34" s="142"/>
      <c r="I34" s="142"/>
      <c r="J34" s="142"/>
    </row>
    <row r="35" spans="1:10" ht="15" thickBot="1" x14ac:dyDescent="0.35">
      <c r="A35" s="113"/>
      <c r="B35" s="161"/>
      <c r="C35" s="162"/>
      <c r="D35" s="163"/>
      <c r="E35" s="164">
        <f>SUM(E31:E34)</f>
        <v>1025000</v>
      </c>
      <c r="F35" s="140"/>
      <c r="G35" s="149" t="s">
        <v>5</v>
      </c>
      <c r="H35" s="119"/>
      <c r="I35" s="119"/>
      <c r="J35" s="119"/>
    </row>
    <row r="36" spans="1:10" ht="15.6" thickTop="1" thickBot="1" x14ac:dyDescent="0.35">
      <c r="A36" s="169"/>
      <c r="B36" s="205" t="s">
        <v>81</v>
      </c>
      <c r="C36" s="205"/>
      <c r="D36" s="205"/>
      <c r="E36" s="36">
        <f>+E35+E28+E15</f>
        <v>2308075</v>
      </c>
      <c r="G36" s="205" t="s">
        <v>81</v>
      </c>
      <c r="H36" s="205"/>
      <c r="I36" s="205"/>
      <c r="J36" s="172">
        <f>+J28+J15+J35</f>
        <v>50320</v>
      </c>
    </row>
    <row r="37" spans="1:10" ht="15" thickTop="1" x14ac:dyDescent="0.3">
      <c r="A37" s="2"/>
      <c r="B37" s="171"/>
      <c r="C37" s="171"/>
      <c r="D37" s="171"/>
      <c r="E37" s="54"/>
      <c r="G37" s="171"/>
      <c r="H37" s="171"/>
      <c r="I37" s="171"/>
      <c r="J37" s="170"/>
    </row>
    <row r="38" spans="1:10" ht="31.2" x14ac:dyDescent="0.3">
      <c r="A38" t="s">
        <v>116</v>
      </c>
      <c r="B38" s="42" t="s">
        <v>0</v>
      </c>
      <c r="C38" s="41" t="s">
        <v>1</v>
      </c>
      <c r="D38" s="43" t="s">
        <v>3</v>
      </c>
      <c r="E38" s="41" t="s">
        <v>2</v>
      </c>
    </row>
    <row r="39" spans="1:10" x14ac:dyDescent="0.3">
      <c r="A39" s="144">
        <v>1</v>
      </c>
      <c r="B39" s="119" t="s">
        <v>93</v>
      </c>
      <c r="C39" s="119">
        <v>30</v>
      </c>
      <c r="D39" s="119">
        <v>270</v>
      </c>
      <c r="E39" s="119">
        <f>+D39*C39</f>
        <v>8100</v>
      </c>
    </row>
    <row r="40" spans="1:10" x14ac:dyDescent="0.3">
      <c r="A40" s="144">
        <v>2</v>
      </c>
      <c r="B40" s="119" t="s">
        <v>94</v>
      </c>
      <c r="C40" s="119">
        <v>3</v>
      </c>
      <c r="D40" s="151">
        <v>2250</v>
      </c>
      <c r="E40" s="151">
        <f>+D40*C40</f>
        <v>6750</v>
      </c>
    </row>
    <row r="41" spans="1:10" x14ac:dyDescent="0.3">
      <c r="A41" s="144">
        <v>3</v>
      </c>
      <c r="B41" s="119" t="s">
        <v>95</v>
      </c>
      <c r="C41" s="119">
        <v>6</v>
      </c>
      <c r="D41" s="151">
        <v>2300</v>
      </c>
      <c r="E41" s="151">
        <f>+D41*C41</f>
        <v>13800</v>
      </c>
    </row>
    <row r="42" spans="1:10" x14ac:dyDescent="0.3">
      <c r="A42" s="144">
        <v>4</v>
      </c>
      <c r="B42" s="119" t="s">
        <v>96</v>
      </c>
      <c r="C42" s="119">
        <v>5</v>
      </c>
      <c r="D42" s="151">
        <v>2390</v>
      </c>
      <c r="E42" s="151">
        <f>+D42*C42</f>
        <v>11950</v>
      </c>
    </row>
    <row r="43" spans="1:10" x14ac:dyDescent="0.3">
      <c r="A43" s="144">
        <v>5</v>
      </c>
      <c r="B43" s="119" t="s">
        <v>97</v>
      </c>
      <c r="C43" s="119">
        <v>3</v>
      </c>
      <c r="D43" s="151">
        <v>1180</v>
      </c>
      <c r="E43" s="151">
        <f>+D43*C43</f>
        <v>3540</v>
      </c>
    </row>
    <row r="44" spans="1:10" x14ac:dyDescent="0.3">
      <c r="A44" s="144">
        <v>6</v>
      </c>
      <c r="B44" s="119" t="s">
        <v>98</v>
      </c>
      <c r="C44" s="119">
        <v>4</v>
      </c>
      <c r="D44" s="151"/>
      <c r="E44" s="151"/>
    </row>
    <row r="45" spans="1:10" x14ac:dyDescent="0.3">
      <c r="A45" s="144">
        <v>7</v>
      </c>
      <c r="B45" s="119" t="s">
        <v>99</v>
      </c>
      <c r="C45" s="119">
        <v>3</v>
      </c>
      <c r="D45" s="151">
        <v>2890</v>
      </c>
      <c r="E45" s="151">
        <f>+D45*C45</f>
        <v>8670</v>
      </c>
    </row>
    <row r="46" spans="1:10" x14ac:dyDescent="0.3">
      <c r="A46" s="144">
        <v>8</v>
      </c>
      <c r="B46" s="119" t="s">
        <v>100</v>
      </c>
      <c r="C46" s="119">
        <v>3</v>
      </c>
      <c r="D46" s="151">
        <v>1890</v>
      </c>
      <c r="E46" s="151">
        <f>+D46*C46</f>
        <v>5670</v>
      </c>
    </row>
    <row r="47" spans="1:10" x14ac:dyDescent="0.3">
      <c r="A47" s="144">
        <v>9</v>
      </c>
      <c r="B47" s="119" t="s">
        <v>101</v>
      </c>
      <c r="C47" s="119">
        <v>3</v>
      </c>
      <c r="D47" s="151"/>
      <c r="E47" s="151"/>
    </row>
    <row r="48" spans="1:10" x14ac:dyDescent="0.3">
      <c r="A48" s="144">
        <v>10</v>
      </c>
      <c r="B48" s="119" t="s">
        <v>102</v>
      </c>
      <c r="C48" s="119">
        <v>6</v>
      </c>
      <c r="D48" s="151"/>
      <c r="E48" s="151"/>
    </row>
    <row r="49" spans="1:10" x14ac:dyDescent="0.3">
      <c r="A49" s="144">
        <v>11</v>
      </c>
      <c r="B49" s="119" t="s">
        <v>103</v>
      </c>
      <c r="C49" s="119">
        <v>5</v>
      </c>
      <c r="D49" s="151"/>
      <c r="E49" s="151"/>
    </row>
    <row r="50" spans="1:10" x14ac:dyDescent="0.3">
      <c r="A50" s="144">
        <v>12</v>
      </c>
      <c r="B50" s="119" t="s">
        <v>104</v>
      </c>
      <c r="C50" s="119">
        <v>3</v>
      </c>
      <c r="D50" s="151"/>
      <c r="E50" s="151"/>
    </row>
    <row r="51" spans="1:10" x14ac:dyDescent="0.3">
      <c r="A51" s="144">
        <v>13</v>
      </c>
      <c r="B51" s="119" t="s">
        <v>105</v>
      </c>
      <c r="C51" s="119">
        <v>2</v>
      </c>
      <c r="D51" s="151">
        <v>1800</v>
      </c>
      <c r="E51" s="151">
        <f t="shared" ref="E51" si="2">+D51*C51</f>
        <v>3600</v>
      </c>
    </row>
    <row r="52" spans="1:10" x14ac:dyDescent="0.3">
      <c r="A52" s="144">
        <v>14</v>
      </c>
      <c r="B52" s="119" t="s">
        <v>106</v>
      </c>
      <c r="C52" s="119">
        <v>2</v>
      </c>
      <c r="D52" s="151"/>
      <c r="E52" s="151"/>
    </row>
    <row r="53" spans="1:10" x14ac:dyDescent="0.3">
      <c r="A53" s="144">
        <v>15</v>
      </c>
      <c r="B53" s="119" t="s">
        <v>107</v>
      </c>
      <c r="C53" s="119">
        <v>4</v>
      </c>
      <c r="D53" s="151">
        <v>1900</v>
      </c>
      <c r="E53" s="151">
        <f>+D53*C53</f>
        <v>7600</v>
      </c>
    </row>
    <row r="54" spans="1:10" x14ac:dyDescent="0.3">
      <c r="A54" s="144">
        <v>16</v>
      </c>
      <c r="B54" s="119" t="s">
        <v>108</v>
      </c>
      <c r="C54" s="119">
        <v>6</v>
      </c>
      <c r="D54" s="151"/>
      <c r="E54" s="151"/>
    </row>
    <row r="55" spans="1:10" x14ac:dyDescent="0.3">
      <c r="A55" s="144">
        <v>17</v>
      </c>
      <c r="B55" s="119" t="s">
        <v>109</v>
      </c>
      <c r="C55" s="119">
        <v>3</v>
      </c>
      <c r="D55" s="151">
        <v>1500</v>
      </c>
      <c r="E55" s="151">
        <f t="shared" ref="E55:E56" si="3">+D55*C55</f>
        <v>4500</v>
      </c>
    </row>
    <row r="56" spans="1:10" x14ac:dyDescent="0.3">
      <c r="A56" s="144">
        <v>18</v>
      </c>
      <c r="B56" s="119" t="s">
        <v>110</v>
      </c>
      <c r="C56" s="119">
        <v>4</v>
      </c>
      <c r="D56" s="151">
        <v>800</v>
      </c>
      <c r="E56" s="151">
        <f t="shared" si="3"/>
        <v>3200</v>
      </c>
    </row>
    <row r="57" spans="1:10" x14ac:dyDescent="0.3">
      <c r="A57" s="144">
        <v>19</v>
      </c>
      <c r="B57" s="119" t="s">
        <v>111</v>
      </c>
      <c r="C57" s="119">
        <v>13</v>
      </c>
      <c r="D57" s="119"/>
      <c r="E57" s="151"/>
    </row>
    <row r="58" spans="1:10" x14ac:dyDescent="0.3">
      <c r="A58" s="144">
        <v>20</v>
      </c>
      <c r="B58" s="119" t="s">
        <v>112</v>
      </c>
      <c r="C58" s="119">
        <v>17</v>
      </c>
      <c r="D58" s="119"/>
      <c r="E58" s="151"/>
    </row>
    <row r="59" spans="1:10" x14ac:dyDescent="0.3">
      <c r="A59" s="144">
        <v>21</v>
      </c>
      <c r="B59" s="119" t="s">
        <v>117</v>
      </c>
      <c r="C59" s="119">
        <v>1</v>
      </c>
      <c r="D59" s="119"/>
      <c r="E59" s="151"/>
    </row>
    <row r="60" spans="1:10" x14ac:dyDescent="0.3">
      <c r="A60" s="144">
        <v>22</v>
      </c>
      <c r="B60" s="119" t="s">
        <v>113</v>
      </c>
      <c r="C60" s="119">
        <v>20</v>
      </c>
      <c r="D60" s="119"/>
      <c r="E60" s="151"/>
    </row>
    <row r="61" spans="1:10" x14ac:dyDescent="0.3">
      <c r="A61" s="144">
        <v>23</v>
      </c>
      <c r="B61" s="119" t="s">
        <v>114</v>
      </c>
      <c r="C61" s="119">
        <v>20</v>
      </c>
      <c r="D61" s="119"/>
      <c r="E61" s="151"/>
    </row>
    <row r="62" spans="1:10" ht="15" thickBot="1" x14ac:dyDescent="0.35">
      <c r="A62" s="144">
        <v>24</v>
      </c>
      <c r="B62" s="142" t="s">
        <v>115</v>
      </c>
      <c r="C62" s="142">
        <v>2</v>
      </c>
      <c r="D62" s="142"/>
      <c r="E62" s="152"/>
    </row>
    <row r="63" spans="1:10" ht="15.6" thickTop="1" thickBot="1" x14ac:dyDescent="0.35">
      <c r="A63" s="117"/>
      <c r="B63" s="149" t="s">
        <v>5</v>
      </c>
      <c r="C63" s="117"/>
      <c r="D63" s="150"/>
      <c r="E63" s="153">
        <f>SUM(E39:E62)</f>
        <v>77380</v>
      </c>
    </row>
    <row r="64" spans="1:10" ht="15" thickTop="1" x14ac:dyDescent="0.3">
      <c r="J64" s="154"/>
    </row>
  </sheetData>
  <mergeCells count="4">
    <mergeCell ref="A1:E1"/>
    <mergeCell ref="A29:D29"/>
    <mergeCell ref="B36:D36"/>
    <mergeCell ref="G36:I36"/>
  </mergeCells>
  <pageMargins left="0.7" right="0.7" top="0.75" bottom="0.75" header="0.3" footer="0.3"/>
  <pageSetup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7"/>
  <sheetViews>
    <sheetView workbookViewId="0">
      <selection activeCell="J8" sqref="J8"/>
    </sheetView>
  </sheetViews>
  <sheetFormatPr defaultRowHeight="14.4" x14ac:dyDescent="0.3"/>
  <cols>
    <col min="1" max="1" width="5.88671875" bestFit="1" customWidth="1"/>
    <col min="2" max="2" width="26.88671875" customWidth="1"/>
    <col min="3" max="3" width="5.109375" bestFit="1" customWidth="1"/>
    <col min="4" max="4" width="11.5546875" customWidth="1"/>
    <col min="5" max="5" width="12.6640625" customWidth="1"/>
  </cols>
  <sheetData>
    <row r="1" spans="1:5" ht="31.2" x14ac:dyDescent="0.3">
      <c r="A1" t="s">
        <v>116</v>
      </c>
      <c r="B1" s="42" t="s">
        <v>0</v>
      </c>
      <c r="C1" s="41" t="s">
        <v>1</v>
      </c>
      <c r="D1" s="43" t="s">
        <v>3</v>
      </c>
      <c r="E1" s="41" t="s">
        <v>2</v>
      </c>
    </row>
    <row r="2" spans="1:5" x14ac:dyDescent="0.3">
      <c r="A2" s="144">
        <v>1</v>
      </c>
      <c r="B2" s="119" t="s">
        <v>93</v>
      </c>
      <c r="C2" s="119">
        <v>30</v>
      </c>
      <c r="D2" s="119">
        <v>270</v>
      </c>
      <c r="E2" s="119">
        <f>+D2*C2</f>
        <v>8100</v>
      </c>
    </row>
    <row r="3" spans="1:5" x14ac:dyDescent="0.3">
      <c r="A3" s="144">
        <v>2</v>
      </c>
      <c r="B3" s="119" t="s">
        <v>94</v>
      </c>
      <c r="C3" s="119">
        <v>3</v>
      </c>
      <c r="D3" s="151">
        <v>2250</v>
      </c>
      <c r="E3" s="151">
        <f>+D3*C3</f>
        <v>6750</v>
      </c>
    </row>
    <row r="4" spans="1:5" x14ac:dyDescent="0.3">
      <c r="A4" s="144">
        <v>3</v>
      </c>
      <c r="B4" s="119" t="s">
        <v>95</v>
      </c>
      <c r="C4" s="119">
        <v>6</v>
      </c>
      <c r="D4" s="151">
        <v>2300</v>
      </c>
      <c r="E4" s="151">
        <f>+D4*C4</f>
        <v>13800</v>
      </c>
    </row>
    <row r="5" spans="1:5" x14ac:dyDescent="0.3">
      <c r="A5" s="144">
        <v>4</v>
      </c>
      <c r="B5" s="119" t="s">
        <v>96</v>
      </c>
      <c r="C5" s="119">
        <v>5</v>
      </c>
      <c r="D5" s="151">
        <v>2390</v>
      </c>
      <c r="E5" s="151">
        <f>+D5*C5</f>
        <v>11950</v>
      </c>
    </row>
    <row r="6" spans="1:5" x14ac:dyDescent="0.3">
      <c r="A6" s="144">
        <v>5</v>
      </c>
      <c r="B6" s="119" t="s">
        <v>97</v>
      </c>
      <c r="C6" s="119">
        <v>3</v>
      </c>
      <c r="D6" s="151">
        <v>1180</v>
      </c>
      <c r="E6" s="151">
        <f>+D6*C6</f>
        <v>3540</v>
      </c>
    </row>
    <row r="7" spans="1:5" x14ac:dyDescent="0.3">
      <c r="A7" s="144">
        <v>6</v>
      </c>
      <c r="B7" s="119" t="s">
        <v>98</v>
      </c>
      <c r="C7" s="119">
        <v>4</v>
      </c>
      <c r="D7" s="151"/>
      <c r="E7" s="151"/>
    </row>
    <row r="8" spans="1:5" x14ac:dyDescent="0.3">
      <c r="A8" s="144">
        <v>7</v>
      </c>
      <c r="B8" s="119" t="s">
        <v>99</v>
      </c>
      <c r="C8" s="119">
        <v>3</v>
      </c>
      <c r="D8" s="151">
        <v>2890</v>
      </c>
      <c r="E8" s="151">
        <f>+D8*C8</f>
        <v>8670</v>
      </c>
    </row>
    <row r="9" spans="1:5" x14ac:dyDescent="0.3">
      <c r="A9" s="144">
        <v>8</v>
      </c>
      <c r="B9" s="119" t="s">
        <v>100</v>
      </c>
      <c r="C9" s="119">
        <v>3</v>
      </c>
      <c r="D9" s="151">
        <v>1890</v>
      </c>
      <c r="E9" s="151">
        <f>+D9*C9</f>
        <v>5670</v>
      </c>
    </row>
    <row r="10" spans="1:5" x14ac:dyDescent="0.3">
      <c r="A10" s="144">
        <v>9</v>
      </c>
      <c r="B10" s="119" t="s">
        <v>101</v>
      </c>
      <c r="C10" s="119">
        <v>3</v>
      </c>
      <c r="D10" s="151"/>
      <c r="E10" s="151"/>
    </row>
    <row r="11" spans="1:5" x14ac:dyDescent="0.3">
      <c r="A11" s="144">
        <v>10</v>
      </c>
      <c r="B11" s="119" t="s">
        <v>102</v>
      </c>
      <c r="C11" s="119">
        <v>6</v>
      </c>
      <c r="D11" s="151"/>
      <c r="E11" s="151"/>
    </row>
    <row r="12" spans="1:5" x14ac:dyDescent="0.3">
      <c r="A12" s="144">
        <v>11</v>
      </c>
      <c r="B12" s="119" t="s">
        <v>103</v>
      </c>
      <c r="C12" s="119">
        <v>5</v>
      </c>
      <c r="D12" s="151"/>
      <c r="E12" s="151"/>
    </row>
    <row r="13" spans="1:5" x14ac:dyDescent="0.3">
      <c r="A13" s="144">
        <v>12</v>
      </c>
      <c r="B13" s="119" t="s">
        <v>104</v>
      </c>
      <c r="C13" s="119">
        <v>3</v>
      </c>
      <c r="D13" s="151"/>
      <c r="E13" s="151"/>
    </row>
    <row r="14" spans="1:5" x14ac:dyDescent="0.3">
      <c r="A14" s="144">
        <v>13</v>
      </c>
      <c r="B14" s="119" t="s">
        <v>105</v>
      </c>
      <c r="C14" s="119">
        <v>2</v>
      </c>
      <c r="D14" s="151">
        <v>1800</v>
      </c>
      <c r="E14" s="151">
        <f t="shared" ref="E14" si="0">+D14*C14</f>
        <v>3600</v>
      </c>
    </row>
    <row r="15" spans="1:5" x14ac:dyDescent="0.3">
      <c r="A15" s="144">
        <v>14</v>
      </c>
      <c r="B15" s="119" t="s">
        <v>106</v>
      </c>
      <c r="C15" s="119">
        <v>2</v>
      </c>
      <c r="D15" s="151"/>
      <c r="E15" s="151"/>
    </row>
    <row r="16" spans="1:5" x14ac:dyDescent="0.3">
      <c r="A16" s="144">
        <v>15</v>
      </c>
      <c r="B16" s="119" t="s">
        <v>107</v>
      </c>
      <c r="C16" s="119">
        <v>4</v>
      </c>
      <c r="D16" s="151">
        <v>1900</v>
      </c>
      <c r="E16" s="151">
        <f>+D16*C16</f>
        <v>7600</v>
      </c>
    </row>
    <row r="17" spans="1:5" x14ac:dyDescent="0.3">
      <c r="A17" s="144">
        <v>16</v>
      </c>
      <c r="B17" s="119" t="s">
        <v>108</v>
      </c>
      <c r="C17" s="119">
        <v>6</v>
      </c>
      <c r="D17" s="151"/>
      <c r="E17" s="151"/>
    </row>
    <row r="18" spans="1:5" x14ac:dyDescent="0.3">
      <c r="A18" s="144">
        <v>17</v>
      </c>
      <c r="B18" s="119" t="s">
        <v>109</v>
      </c>
      <c r="C18" s="119">
        <v>3</v>
      </c>
      <c r="D18" s="151">
        <v>1500</v>
      </c>
      <c r="E18" s="151">
        <f t="shared" ref="E18:E19" si="1">+D18*C18</f>
        <v>4500</v>
      </c>
    </row>
    <row r="19" spans="1:5" x14ac:dyDescent="0.3">
      <c r="A19" s="144">
        <v>18</v>
      </c>
      <c r="B19" s="119" t="s">
        <v>110</v>
      </c>
      <c r="C19" s="119">
        <v>4</v>
      </c>
      <c r="D19" s="151">
        <v>800</v>
      </c>
      <c r="E19" s="151">
        <f t="shared" si="1"/>
        <v>3200</v>
      </c>
    </row>
    <row r="20" spans="1:5" x14ac:dyDescent="0.3">
      <c r="A20" s="144">
        <v>19</v>
      </c>
      <c r="B20" s="119" t="s">
        <v>111</v>
      </c>
      <c r="C20" s="119">
        <v>13</v>
      </c>
      <c r="D20" s="119"/>
      <c r="E20" s="151"/>
    </row>
    <row r="21" spans="1:5" x14ac:dyDescent="0.3">
      <c r="A21" s="144">
        <v>20</v>
      </c>
      <c r="B21" s="119" t="s">
        <v>112</v>
      </c>
      <c r="C21" s="119">
        <v>17</v>
      </c>
      <c r="D21" s="119"/>
      <c r="E21" s="151"/>
    </row>
    <row r="22" spans="1:5" x14ac:dyDescent="0.3">
      <c r="A22" s="144">
        <v>21</v>
      </c>
      <c r="B22" s="119" t="s">
        <v>117</v>
      </c>
      <c r="C22" s="119">
        <v>1</v>
      </c>
      <c r="D22" s="119"/>
      <c r="E22" s="151"/>
    </row>
    <row r="23" spans="1:5" x14ac:dyDescent="0.3">
      <c r="A23" s="144">
        <v>22</v>
      </c>
      <c r="B23" s="119" t="s">
        <v>113</v>
      </c>
      <c r="C23" s="119">
        <v>20</v>
      </c>
      <c r="D23" s="119"/>
      <c r="E23" s="151"/>
    </row>
    <row r="24" spans="1:5" x14ac:dyDescent="0.3">
      <c r="A24" s="144">
        <v>23</v>
      </c>
      <c r="B24" s="119" t="s">
        <v>114</v>
      </c>
      <c r="C24" s="119">
        <v>20</v>
      </c>
      <c r="D24" s="119"/>
      <c r="E24" s="151"/>
    </row>
    <row r="25" spans="1:5" ht="15" thickBot="1" x14ac:dyDescent="0.35">
      <c r="A25" s="144">
        <v>24</v>
      </c>
      <c r="B25" s="142" t="s">
        <v>115</v>
      </c>
      <c r="C25" s="142">
        <v>2</v>
      </c>
      <c r="D25" s="142"/>
      <c r="E25" s="152"/>
    </row>
    <row r="26" spans="1:5" ht="15.6" thickTop="1" thickBot="1" x14ac:dyDescent="0.35">
      <c r="A26" s="117"/>
      <c r="B26" s="149" t="s">
        <v>5</v>
      </c>
      <c r="C26" s="117"/>
      <c r="D26" s="150"/>
      <c r="E26" s="153">
        <f>SUM(E2:E25)</f>
        <v>77380</v>
      </c>
    </row>
    <row r="27" spans="1:5" ht="15" thickTop="1" x14ac:dyDescent="0.3"/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3"/>
  <sheetViews>
    <sheetView view="pageBreakPreview" topLeftCell="A7" zoomScale="106" zoomScaleNormal="96" zoomScaleSheetLayoutView="106" workbookViewId="0">
      <selection activeCell="L8" sqref="L8"/>
    </sheetView>
  </sheetViews>
  <sheetFormatPr defaultRowHeight="14.4" x14ac:dyDescent="0.3"/>
  <cols>
    <col min="1" max="1" width="3.88671875" bestFit="1" customWidth="1"/>
    <col min="2" max="2" width="24.44140625" customWidth="1"/>
    <col min="3" max="3" width="10.6640625" customWidth="1"/>
    <col min="4" max="4" width="11.33203125" customWidth="1"/>
    <col min="5" max="5" width="11.88671875" customWidth="1"/>
    <col min="6" max="6" width="6.109375" customWidth="1"/>
    <col min="7" max="7" width="32.33203125" customWidth="1"/>
    <col min="8" max="8" width="5.109375" bestFit="1" customWidth="1"/>
    <col min="9" max="9" width="10.44140625" customWidth="1"/>
    <col min="10" max="10" width="12.6640625" customWidth="1"/>
    <col min="11" max="11" width="9" bestFit="1" customWidth="1"/>
  </cols>
  <sheetData>
    <row r="1" spans="1:12" ht="24" thickBot="1" x14ac:dyDescent="0.5">
      <c r="A1" s="204" t="s">
        <v>118</v>
      </c>
      <c r="B1" s="204"/>
      <c r="C1" s="204"/>
      <c r="D1" s="204"/>
      <c r="E1" s="204"/>
      <c r="F1" s="122"/>
      <c r="G1" s="206" t="s">
        <v>119</v>
      </c>
      <c r="H1" s="206"/>
      <c r="I1" s="206"/>
      <c r="J1" s="206"/>
    </row>
    <row r="2" spans="1:12" s="7" customFormat="1" ht="28.5" customHeight="1" x14ac:dyDescent="0.3">
      <c r="A2" s="37" t="s">
        <v>4</v>
      </c>
      <c r="B2" s="38" t="s">
        <v>0</v>
      </c>
      <c r="C2" s="7" t="s">
        <v>1</v>
      </c>
      <c r="D2" s="39" t="s">
        <v>3</v>
      </c>
      <c r="E2" s="24" t="s">
        <v>2</v>
      </c>
      <c r="G2" s="42" t="s">
        <v>0</v>
      </c>
      <c r="H2" s="41" t="s">
        <v>1</v>
      </c>
      <c r="I2" s="43" t="s">
        <v>3</v>
      </c>
      <c r="J2" s="41" t="s">
        <v>2</v>
      </c>
    </row>
    <row r="3" spans="1:12" s="7" customFormat="1" ht="15.6" x14ac:dyDescent="0.3">
      <c r="A3" s="41"/>
      <c r="B3" s="42"/>
      <c r="C3" s="43"/>
      <c r="D3" s="41"/>
      <c r="E3" s="41"/>
      <c r="G3" s="41"/>
      <c r="H3" s="41"/>
      <c r="I3" s="41"/>
      <c r="J3" s="41"/>
    </row>
    <row r="4" spans="1:12" x14ac:dyDescent="0.3">
      <c r="A4" s="45">
        <v>1</v>
      </c>
      <c r="B4" s="46" t="s">
        <v>22</v>
      </c>
      <c r="C4" s="47">
        <v>250</v>
      </c>
      <c r="D4" s="48">
        <v>1500</v>
      </c>
      <c r="E4" s="49">
        <f>C4*D4</f>
        <v>375000</v>
      </c>
      <c r="G4" s="46" t="s">
        <v>22</v>
      </c>
      <c r="H4" s="158">
        <v>66</v>
      </c>
      <c r="I4" s="160">
        <v>1500</v>
      </c>
      <c r="J4" s="159">
        <f t="shared" ref="J4:J23" si="0">+I4*H4</f>
        <v>99000</v>
      </c>
      <c r="K4" s="141"/>
    </row>
    <row r="5" spans="1:12" x14ac:dyDescent="0.3">
      <c r="A5" s="45">
        <f>A4+1</f>
        <v>2</v>
      </c>
      <c r="B5" s="46" t="s">
        <v>26</v>
      </c>
      <c r="C5" s="139">
        <v>25</v>
      </c>
      <c r="D5" s="47">
        <v>4150</v>
      </c>
      <c r="E5" s="49">
        <f>C5*D5</f>
        <v>103750</v>
      </c>
      <c r="G5" s="46" t="s">
        <v>133</v>
      </c>
      <c r="H5" s="159">
        <v>17</v>
      </c>
      <c r="I5" s="160">
        <v>1150</v>
      </c>
      <c r="J5" s="159">
        <f t="shared" si="0"/>
        <v>19550</v>
      </c>
      <c r="K5" s="141"/>
    </row>
    <row r="6" spans="1:12" x14ac:dyDescent="0.3">
      <c r="A6" s="45">
        <f t="shared" ref="A6:A31" si="1">A5+1</f>
        <v>3</v>
      </c>
      <c r="B6" s="46" t="s">
        <v>29</v>
      </c>
      <c r="C6" s="47">
        <v>9</v>
      </c>
      <c r="D6" s="48">
        <v>5650</v>
      </c>
      <c r="E6" s="49">
        <f>C6*D6</f>
        <v>50850</v>
      </c>
      <c r="G6" s="46" t="s">
        <v>29</v>
      </c>
      <c r="H6" s="159">
        <v>7</v>
      </c>
      <c r="I6" s="160">
        <v>2360</v>
      </c>
      <c r="J6" s="159">
        <f t="shared" si="0"/>
        <v>16520</v>
      </c>
      <c r="K6" s="141"/>
    </row>
    <row r="7" spans="1:12" x14ac:dyDescent="0.3">
      <c r="A7" s="45">
        <f t="shared" si="1"/>
        <v>4</v>
      </c>
      <c r="B7" s="46" t="s">
        <v>32</v>
      </c>
      <c r="C7" s="47">
        <v>9</v>
      </c>
      <c r="D7" s="48">
        <v>2525</v>
      </c>
      <c r="E7" s="49">
        <f>C7*D7</f>
        <v>22725</v>
      </c>
      <c r="G7" s="46" t="s">
        <v>32</v>
      </c>
      <c r="H7" s="159">
        <v>5</v>
      </c>
      <c r="I7" s="160">
        <v>2850</v>
      </c>
      <c r="J7" s="159">
        <f t="shared" si="0"/>
        <v>14250</v>
      </c>
      <c r="K7" s="141"/>
    </row>
    <row r="8" spans="1:12" ht="28.8" x14ac:dyDescent="0.3">
      <c r="A8" s="45">
        <f t="shared" si="1"/>
        <v>5</v>
      </c>
      <c r="B8" s="46" t="s">
        <v>23</v>
      </c>
      <c r="C8" s="47">
        <v>10000</v>
      </c>
      <c r="D8" s="48"/>
      <c r="E8" s="49">
        <v>180000</v>
      </c>
      <c r="G8" s="119" t="s">
        <v>93</v>
      </c>
      <c r="H8" s="119">
        <v>30</v>
      </c>
      <c r="I8" s="151">
        <v>270</v>
      </c>
      <c r="J8" s="151">
        <f t="shared" si="0"/>
        <v>8100</v>
      </c>
      <c r="K8" s="118"/>
      <c r="L8" t="s">
        <v>134</v>
      </c>
    </row>
    <row r="9" spans="1:12" ht="28.8" x14ac:dyDescent="0.3">
      <c r="A9" s="45">
        <f t="shared" si="1"/>
        <v>6</v>
      </c>
      <c r="B9" s="46" t="s">
        <v>24</v>
      </c>
      <c r="C9" s="47">
        <v>2389</v>
      </c>
      <c r="D9" s="48"/>
      <c r="E9" s="49">
        <v>64395</v>
      </c>
      <c r="G9" s="119" t="s">
        <v>120</v>
      </c>
      <c r="H9" s="119">
        <v>3</v>
      </c>
      <c r="I9" s="151">
        <v>2250</v>
      </c>
      <c r="J9" s="151">
        <f t="shared" si="0"/>
        <v>6750</v>
      </c>
      <c r="K9" s="118"/>
    </row>
    <row r="10" spans="1:12" x14ac:dyDescent="0.3">
      <c r="A10" s="45">
        <f t="shared" si="1"/>
        <v>7</v>
      </c>
      <c r="B10" s="46" t="s">
        <v>25</v>
      </c>
      <c r="C10" s="139">
        <v>4</v>
      </c>
      <c r="D10" s="47">
        <v>9000</v>
      </c>
      <c r="E10" s="49">
        <f>+C10*D10</f>
        <v>36000</v>
      </c>
      <c r="G10" s="119" t="s">
        <v>121</v>
      </c>
      <c r="H10" s="119">
        <v>6</v>
      </c>
      <c r="I10" s="151">
        <v>2300</v>
      </c>
      <c r="J10" s="151">
        <f t="shared" si="0"/>
        <v>13800</v>
      </c>
      <c r="K10" s="118"/>
    </row>
    <row r="11" spans="1:12" x14ac:dyDescent="0.3">
      <c r="A11" s="45">
        <f t="shared" si="1"/>
        <v>8</v>
      </c>
      <c r="B11" s="46" t="s">
        <v>27</v>
      </c>
      <c r="C11" s="47">
        <v>15</v>
      </c>
      <c r="D11" s="48">
        <v>2880</v>
      </c>
      <c r="E11" s="49">
        <f>C11*D11</f>
        <v>43200</v>
      </c>
      <c r="G11" s="119" t="s">
        <v>96</v>
      </c>
      <c r="H11" s="119">
        <v>5</v>
      </c>
      <c r="I11" s="151">
        <v>2390</v>
      </c>
      <c r="J11" s="151">
        <f t="shared" si="0"/>
        <v>11950</v>
      </c>
      <c r="K11" s="118"/>
    </row>
    <row r="12" spans="1:12" x14ac:dyDescent="0.3">
      <c r="A12" s="45">
        <f t="shared" si="1"/>
        <v>9</v>
      </c>
      <c r="B12" s="46" t="s">
        <v>28</v>
      </c>
      <c r="C12" s="47">
        <v>9</v>
      </c>
      <c r="D12" s="48">
        <v>4400</v>
      </c>
      <c r="E12" s="49">
        <f t="shared" ref="E12:E23" si="2">C12*D12</f>
        <v>39600</v>
      </c>
      <c r="G12" s="119" t="s">
        <v>97</v>
      </c>
      <c r="H12" s="119">
        <v>3</v>
      </c>
      <c r="I12" s="151">
        <v>1180</v>
      </c>
      <c r="J12" s="151">
        <f t="shared" si="0"/>
        <v>3540</v>
      </c>
      <c r="K12" s="118"/>
    </row>
    <row r="13" spans="1:12" x14ac:dyDescent="0.3">
      <c r="A13" s="45">
        <f t="shared" si="1"/>
        <v>10</v>
      </c>
      <c r="B13" s="46" t="s">
        <v>30</v>
      </c>
      <c r="C13" s="47">
        <v>8</v>
      </c>
      <c r="D13" s="48">
        <v>16685</v>
      </c>
      <c r="E13" s="49">
        <f>C13*D13</f>
        <v>133480</v>
      </c>
      <c r="G13" s="119" t="s">
        <v>123</v>
      </c>
      <c r="H13" s="119">
        <v>3</v>
      </c>
      <c r="I13" s="151">
        <v>2890</v>
      </c>
      <c r="J13" s="151">
        <f t="shared" si="0"/>
        <v>8670</v>
      </c>
      <c r="K13" s="118"/>
    </row>
    <row r="14" spans="1:12" x14ac:dyDescent="0.3">
      <c r="A14" s="45">
        <f t="shared" si="1"/>
        <v>11</v>
      </c>
      <c r="B14" s="46" t="s">
        <v>31</v>
      </c>
      <c r="C14" s="47">
        <v>300</v>
      </c>
      <c r="D14" s="48">
        <v>350</v>
      </c>
      <c r="E14" s="49">
        <f>C14*D14</f>
        <v>105000</v>
      </c>
      <c r="G14" s="119" t="s">
        <v>124</v>
      </c>
      <c r="H14" s="119">
        <v>3</v>
      </c>
      <c r="I14" s="151">
        <v>1890</v>
      </c>
      <c r="J14" s="151">
        <f t="shared" si="0"/>
        <v>5670</v>
      </c>
      <c r="K14" s="118"/>
    </row>
    <row r="15" spans="1:12" x14ac:dyDescent="0.3">
      <c r="A15" s="45">
        <f t="shared" si="1"/>
        <v>12</v>
      </c>
      <c r="B15" s="46" t="s">
        <v>33</v>
      </c>
      <c r="C15" s="47">
        <v>7</v>
      </c>
      <c r="D15" s="48">
        <v>2865</v>
      </c>
      <c r="E15" s="49">
        <f t="shared" si="2"/>
        <v>20055</v>
      </c>
      <c r="G15" s="119" t="s">
        <v>125</v>
      </c>
      <c r="H15" s="119">
        <v>3</v>
      </c>
      <c r="I15" s="151">
        <v>1990</v>
      </c>
      <c r="J15" s="151">
        <f t="shared" si="0"/>
        <v>5970</v>
      </c>
    </row>
    <row r="16" spans="1:12" x14ac:dyDescent="0.3">
      <c r="A16" s="45">
        <f t="shared" si="1"/>
        <v>13</v>
      </c>
      <c r="B16" s="46" t="s">
        <v>34</v>
      </c>
      <c r="C16" s="47">
        <v>7</v>
      </c>
      <c r="D16" s="48">
        <v>1545</v>
      </c>
      <c r="E16" s="49">
        <f t="shared" si="2"/>
        <v>10815</v>
      </c>
      <c r="G16" s="119" t="s">
        <v>102</v>
      </c>
      <c r="H16" s="119">
        <v>6</v>
      </c>
      <c r="I16" s="151">
        <v>1745</v>
      </c>
      <c r="J16" s="151">
        <f t="shared" si="0"/>
        <v>10470</v>
      </c>
    </row>
    <row r="17" spans="1:10" x14ac:dyDescent="0.3">
      <c r="A17" s="45">
        <f t="shared" si="1"/>
        <v>14</v>
      </c>
      <c r="B17" s="46" t="s">
        <v>35</v>
      </c>
      <c r="C17" s="47">
        <v>7</v>
      </c>
      <c r="D17" s="48">
        <v>1525</v>
      </c>
      <c r="E17" s="49">
        <f t="shared" si="2"/>
        <v>10675</v>
      </c>
      <c r="G17" s="119" t="s">
        <v>126</v>
      </c>
      <c r="H17" s="119">
        <v>5</v>
      </c>
      <c r="I17" s="151">
        <v>1800</v>
      </c>
      <c r="J17" s="151">
        <f t="shared" si="0"/>
        <v>9000</v>
      </c>
    </row>
    <row r="18" spans="1:10" x14ac:dyDescent="0.3">
      <c r="A18" s="45">
        <f t="shared" si="1"/>
        <v>15</v>
      </c>
      <c r="B18" s="46" t="s">
        <v>36</v>
      </c>
      <c r="C18" s="47">
        <v>7</v>
      </c>
      <c r="D18" s="48">
        <v>1680</v>
      </c>
      <c r="E18" s="49">
        <f t="shared" si="2"/>
        <v>11760</v>
      </c>
      <c r="G18" s="119" t="s">
        <v>105</v>
      </c>
      <c r="H18" s="119">
        <v>2</v>
      </c>
      <c r="I18" s="151">
        <v>1800</v>
      </c>
      <c r="J18" s="151">
        <f t="shared" si="0"/>
        <v>3600</v>
      </c>
    </row>
    <row r="19" spans="1:10" x14ac:dyDescent="0.3">
      <c r="A19" s="45">
        <f t="shared" si="1"/>
        <v>16</v>
      </c>
      <c r="B19" s="46" t="s">
        <v>37</v>
      </c>
      <c r="C19" s="47">
        <v>7</v>
      </c>
      <c r="D19" s="48">
        <v>845</v>
      </c>
      <c r="E19" s="49">
        <f t="shared" si="2"/>
        <v>5915</v>
      </c>
      <c r="G19" s="119" t="s">
        <v>131</v>
      </c>
      <c r="H19" s="119">
        <v>2</v>
      </c>
      <c r="I19" s="151">
        <v>3400</v>
      </c>
      <c r="J19" s="151">
        <f t="shared" si="0"/>
        <v>6800</v>
      </c>
    </row>
    <row r="20" spans="1:10" x14ac:dyDescent="0.3">
      <c r="A20" s="45">
        <f t="shared" si="1"/>
        <v>17</v>
      </c>
      <c r="B20" s="46" t="s">
        <v>38</v>
      </c>
      <c r="C20" s="47">
        <v>7</v>
      </c>
      <c r="D20" s="48">
        <v>825</v>
      </c>
      <c r="E20" s="49">
        <f t="shared" si="2"/>
        <v>5775</v>
      </c>
      <c r="G20" s="119" t="s">
        <v>107</v>
      </c>
      <c r="H20" s="119">
        <v>4</v>
      </c>
      <c r="I20" s="151">
        <v>1900</v>
      </c>
      <c r="J20" s="151">
        <f t="shared" si="0"/>
        <v>7600</v>
      </c>
    </row>
    <row r="21" spans="1:10" x14ac:dyDescent="0.3">
      <c r="A21" s="45">
        <f t="shared" si="1"/>
        <v>18</v>
      </c>
      <c r="B21" s="46" t="s">
        <v>39</v>
      </c>
      <c r="C21" s="47">
        <v>30</v>
      </c>
      <c r="D21" s="48">
        <v>575</v>
      </c>
      <c r="E21" s="49">
        <f t="shared" si="2"/>
        <v>17250</v>
      </c>
      <c r="G21" s="119" t="s">
        <v>109</v>
      </c>
      <c r="H21" s="119">
        <v>3</v>
      </c>
      <c r="I21" s="151">
        <v>1500</v>
      </c>
      <c r="J21" s="151">
        <f t="shared" si="0"/>
        <v>4500</v>
      </c>
    </row>
    <row r="22" spans="1:10" x14ac:dyDescent="0.3">
      <c r="A22" s="45">
        <f t="shared" si="1"/>
        <v>19</v>
      </c>
      <c r="B22" s="46" t="s">
        <v>40</v>
      </c>
      <c r="C22" s="47">
        <v>7</v>
      </c>
      <c r="D22" s="48">
        <v>3495</v>
      </c>
      <c r="E22" s="49">
        <f t="shared" si="2"/>
        <v>24465</v>
      </c>
      <c r="G22" s="119" t="s">
        <v>110</v>
      </c>
      <c r="H22" s="119">
        <v>4</v>
      </c>
      <c r="I22" s="151">
        <v>800</v>
      </c>
      <c r="J22" s="151">
        <f t="shared" si="0"/>
        <v>3200</v>
      </c>
    </row>
    <row r="23" spans="1:10" x14ac:dyDescent="0.3">
      <c r="A23" s="45">
        <f t="shared" si="1"/>
        <v>20</v>
      </c>
      <c r="B23" s="46" t="s">
        <v>41</v>
      </c>
      <c r="C23" s="47">
        <v>7</v>
      </c>
      <c r="D23" s="48">
        <v>3195</v>
      </c>
      <c r="E23" s="49">
        <f t="shared" si="2"/>
        <v>22365</v>
      </c>
      <c r="G23" s="119" t="s">
        <v>122</v>
      </c>
      <c r="H23" s="119">
        <v>4</v>
      </c>
      <c r="I23" s="151">
        <v>2400</v>
      </c>
      <c r="J23" s="151">
        <f t="shared" si="0"/>
        <v>9600</v>
      </c>
    </row>
    <row r="24" spans="1:10" x14ac:dyDescent="0.3">
      <c r="A24" s="45">
        <f t="shared" si="1"/>
        <v>21</v>
      </c>
      <c r="B24" s="46" t="s">
        <v>43</v>
      </c>
      <c r="C24" s="47">
        <v>50</v>
      </c>
      <c r="D24" s="48">
        <v>3000</v>
      </c>
      <c r="E24" s="49">
        <f>C24*D24</f>
        <v>150000</v>
      </c>
      <c r="G24" s="119" t="s">
        <v>132</v>
      </c>
      <c r="H24" s="119">
        <v>3</v>
      </c>
      <c r="I24" s="151"/>
      <c r="J24" s="151"/>
    </row>
    <row r="25" spans="1:10" x14ac:dyDescent="0.3">
      <c r="A25" s="45">
        <f t="shared" si="1"/>
        <v>22</v>
      </c>
      <c r="B25" s="46" t="s">
        <v>44</v>
      </c>
      <c r="C25" s="47">
        <v>50</v>
      </c>
      <c r="D25" s="48">
        <v>6000</v>
      </c>
      <c r="E25" s="49">
        <f t="shared" ref="E25:E27" si="3">C25*D25</f>
        <v>300000</v>
      </c>
      <c r="G25" s="119" t="s">
        <v>108</v>
      </c>
      <c r="H25" s="119">
        <v>6</v>
      </c>
      <c r="I25" s="151"/>
      <c r="J25" s="151"/>
    </row>
    <row r="26" spans="1:10" x14ac:dyDescent="0.3">
      <c r="A26" s="45">
        <f t="shared" si="1"/>
        <v>23</v>
      </c>
      <c r="B26" s="46" t="s">
        <v>45</v>
      </c>
      <c r="C26" s="47">
        <v>50</v>
      </c>
      <c r="D26" s="48">
        <v>7000</v>
      </c>
      <c r="E26" s="49">
        <f t="shared" si="3"/>
        <v>350000</v>
      </c>
      <c r="G26" s="119" t="s">
        <v>130</v>
      </c>
      <c r="H26" s="119">
        <v>13</v>
      </c>
      <c r="I26" s="119"/>
      <c r="J26" s="151"/>
    </row>
    <row r="27" spans="1:10" x14ac:dyDescent="0.3">
      <c r="A27" s="45">
        <f t="shared" si="1"/>
        <v>24</v>
      </c>
      <c r="B27" s="46" t="s">
        <v>46</v>
      </c>
      <c r="C27" s="47">
        <v>50</v>
      </c>
      <c r="D27" s="48">
        <v>4500</v>
      </c>
      <c r="E27" s="49">
        <f t="shared" si="3"/>
        <v>225000</v>
      </c>
      <c r="G27" s="119" t="s">
        <v>112</v>
      </c>
      <c r="H27" s="119">
        <v>17</v>
      </c>
      <c r="I27" s="119"/>
      <c r="J27" s="151"/>
    </row>
    <row r="28" spans="1:10" x14ac:dyDescent="0.3">
      <c r="A28" s="45">
        <f t="shared" si="1"/>
        <v>25</v>
      </c>
      <c r="B28" s="175"/>
      <c r="C28" s="176"/>
      <c r="D28" s="177"/>
      <c r="E28" s="180"/>
      <c r="G28" s="119" t="s">
        <v>128</v>
      </c>
      <c r="H28" s="119">
        <v>1</v>
      </c>
      <c r="I28" s="119"/>
      <c r="J28" s="151"/>
    </row>
    <row r="29" spans="1:10" x14ac:dyDescent="0.3">
      <c r="A29" s="45">
        <f t="shared" si="1"/>
        <v>26</v>
      </c>
      <c r="B29" s="175"/>
      <c r="C29" s="176"/>
      <c r="D29" s="177"/>
      <c r="E29" s="180"/>
      <c r="G29" s="119" t="s">
        <v>129</v>
      </c>
      <c r="H29" s="119">
        <v>20</v>
      </c>
      <c r="I29" s="119"/>
      <c r="J29" s="151"/>
    </row>
    <row r="30" spans="1:10" x14ac:dyDescent="0.3">
      <c r="A30" s="45">
        <f t="shared" si="1"/>
        <v>27</v>
      </c>
      <c r="B30" s="175"/>
      <c r="C30" s="176"/>
      <c r="D30" s="177"/>
      <c r="E30" s="49"/>
      <c r="G30" s="119" t="s">
        <v>127</v>
      </c>
      <c r="H30" s="119">
        <v>20</v>
      </c>
      <c r="I30" s="119"/>
      <c r="J30" s="151"/>
    </row>
    <row r="31" spans="1:10" x14ac:dyDescent="0.3">
      <c r="A31" s="45">
        <f t="shared" si="1"/>
        <v>28</v>
      </c>
      <c r="B31" s="175"/>
      <c r="C31" s="176"/>
      <c r="D31" s="177"/>
      <c r="E31" s="173"/>
      <c r="G31" s="119" t="s">
        <v>115</v>
      </c>
      <c r="H31" s="142">
        <v>2</v>
      </c>
      <c r="I31" s="142"/>
      <c r="J31" s="151"/>
    </row>
    <row r="32" spans="1:10" ht="15" thickBot="1" x14ac:dyDescent="0.35">
      <c r="A32" s="174"/>
      <c r="B32" s="207" t="s">
        <v>5</v>
      </c>
      <c r="C32" s="205"/>
      <c r="D32" s="208"/>
      <c r="E32" s="128">
        <f>SUM(E4:E31)</f>
        <v>2308075</v>
      </c>
      <c r="G32" s="179" t="s">
        <v>5</v>
      </c>
      <c r="H32" s="146"/>
      <c r="I32" s="146"/>
      <c r="J32" s="178">
        <f>SUM(J4:J31)</f>
        <v>268540</v>
      </c>
    </row>
    <row r="33" ht="15" thickTop="1" x14ac:dyDescent="0.3"/>
  </sheetData>
  <mergeCells count="3">
    <mergeCell ref="A1:E1"/>
    <mergeCell ref="G1:J1"/>
    <mergeCell ref="B32:D32"/>
  </mergeCells>
  <pageMargins left="0.70866141732283472" right="0.70866141732283472" top="0.74803149606299213" bottom="0.74803149606299213" header="0.31496062992125984" footer="0.31496062992125984"/>
  <pageSetup scale="92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64"/>
  <sheetViews>
    <sheetView zoomScale="96" zoomScaleNormal="96" zoomScaleSheetLayoutView="106" workbookViewId="0">
      <selection activeCell="D3" sqref="D3"/>
    </sheetView>
  </sheetViews>
  <sheetFormatPr defaultRowHeight="14.4" x14ac:dyDescent="0.3"/>
  <cols>
    <col min="1" max="1" width="3.88671875" bestFit="1" customWidth="1"/>
    <col min="2" max="2" width="24.44140625" customWidth="1"/>
    <col min="3" max="3" width="10.6640625" customWidth="1"/>
    <col min="4" max="4" width="11.33203125" customWidth="1"/>
    <col min="5" max="5" width="11.88671875" customWidth="1"/>
    <col min="6" max="6" width="4" customWidth="1"/>
    <col min="7" max="7" width="32.33203125" customWidth="1"/>
    <col min="8" max="8" width="5.109375" bestFit="1" customWidth="1"/>
    <col min="9" max="9" width="10.44140625" customWidth="1"/>
    <col min="10" max="10" width="12.6640625" customWidth="1"/>
    <col min="11" max="11" width="10.109375" bestFit="1" customWidth="1"/>
  </cols>
  <sheetData>
    <row r="1" spans="1:11" ht="24" thickBot="1" x14ac:dyDescent="0.5">
      <c r="A1" s="204" t="s">
        <v>118</v>
      </c>
      <c r="B1" s="204"/>
      <c r="C1" s="204"/>
      <c r="D1" s="204"/>
      <c r="E1" s="204"/>
      <c r="F1" s="122"/>
      <c r="G1" s="206" t="s">
        <v>119</v>
      </c>
      <c r="H1" s="206"/>
      <c r="I1" s="206"/>
      <c r="J1" s="206"/>
    </row>
    <row r="2" spans="1:11" s="7" customFormat="1" ht="28.5" customHeight="1" x14ac:dyDescent="0.3">
      <c r="A2" s="37" t="s">
        <v>4</v>
      </c>
      <c r="B2" s="38" t="s">
        <v>0</v>
      </c>
      <c r="C2" s="7" t="s">
        <v>1</v>
      </c>
      <c r="D2" s="39" t="s">
        <v>3</v>
      </c>
      <c r="E2" s="16" t="s">
        <v>2</v>
      </c>
      <c r="F2" s="126"/>
      <c r="G2" s="42" t="s">
        <v>0</v>
      </c>
      <c r="H2" s="41" t="s">
        <v>1</v>
      </c>
      <c r="I2" s="43" t="s">
        <v>3</v>
      </c>
      <c r="J2" s="41" t="s">
        <v>2</v>
      </c>
    </row>
    <row r="3" spans="1:11" s="7" customFormat="1" ht="15.6" x14ac:dyDescent="0.3">
      <c r="A3" s="41"/>
      <c r="B3" s="42"/>
      <c r="C3" s="43"/>
      <c r="D3" s="41"/>
      <c r="E3" s="126"/>
      <c r="F3" s="126"/>
      <c r="G3" s="41"/>
      <c r="H3" s="41"/>
      <c r="I3" s="41"/>
      <c r="J3" s="41"/>
    </row>
    <row r="4" spans="1:11" x14ac:dyDescent="0.3">
      <c r="A4" s="113"/>
      <c r="B4" s="115" t="s">
        <v>65</v>
      </c>
      <c r="C4" s="110"/>
      <c r="D4" s="111"/>
      <c r="E4" s="129"/>
      <c r="F4" s="140"/>
      <c r="G4" s="115"/>
      <c r="H4" s="119"/>
      <c r="I4" s="119"/>
      <c r="J4" s="119"/>
    </row>
    <row r="5" spans="1:11" ht="28.8" x14ac:dyDescent="0.3">
      <c r="A5" s="45">
        <v>1</v>
      </c>
      <c r="B5" s="46" t="s">
        <v>23</v>
      </c>
      <c r="C5" s="47">
        <v>10000</v>
      </c>
      <c r="D5" s="48"/>
      <c r="E5" s="127">
        <v>180000</v>
      </c>
      <c r="F5" s="140"/>
      <c r="G5" s="46"/>
      <c r="H5" s="158"/>
      <c r="I5" s="158"/>
      <c r="J5" s="158"/>
      <c r="K5" s="118"/>
    </row>
    <row r="6" spans="1:11" ht="28.8" x14ac:dyDescent="0.3">
      <c r="A6" s="45">
        <v>2</v>
      </c>
      <c r="B6" s="46" t="s">
        <v>24</v>
      </c>
      <c r="C6" s="47">
        <v>2389</v>
      </c>
      <c r="D6" s="48"/>
      <c r="E6" s="127">
        <v>64395</v>
      </c>
      <c r="F6" s="140"/>
      <c r="G6" s="46"/>
      <c r="H6" s="158"/>
      <c r="I6" s="158"/>
      <c r="J6" s="158"/>
      <c r="K6" s="118"/>
    </row>
    <row r="7" spans="1:11" x14ac:dyDescent="0.3">
      <c r="A7" s="45">
        <v>3</v>
      </c>
      <c r="B7" s="46" t="s">
        <v>25</v>
      </c>
      <c r="C7" s="139">
        <v>4</v>
      </c>
      <c r="D7" s="47">
        <v>9000</v>
      </c>
      <c r="E7" s="127">
        <f>+C7*D7</f>
        <v>36000</v>
      </c>
      <c r="F7" s="140"/>
      <c r="G7" s="46"/>
      <c r="H7" s="158"/>
      <c r="I7" s="158"/>
      <c r="J7" s="158"/>
      <c r="K7" s="118"/>
    </row>
    <row r="8" spans="1:11" x14ac:dyDescent="0.3">
      <c r="A8" s="45">
        <v>4</v>
      </c>
      <c r="B8" s="46" t="s">
        <v>27</v>
      </c>
      <c r="C8" s="47">
        <v>15</v>
      </c>
      <c r="D8" s="48">
        <v>2880</v>
      </c>
      <c r="E8" s="127">
        <f>C8*D8</f>
        <v>43200</v>
      </c>
      <c r="F8" s="140"/>
      <c r="G8" s="46"/>
      <c r="H8" s="158"/>
      <c r="I8" s="160"/>
      <c r="J8" s="158"/>
      <c r="K8" s="118"/>
    </row>
    <row r="9" spans="1:11" x14ac:dyDescent="0.3">
      <c r="A9" s="45">
        <v>5</v>
      </c>
      <c r="B9" s="46" t="s">
        <v>28</v>
      </c>
      <c r="C9" s="47">
        <v>9</v>
      </c>
      <c r="D9" s="48">
        <v>4400</v>
      </c>
      <c r="E9" s="127">
        <f t="shared" ref="E9:E26" si="0">C9*D9</f>
        <v>39600</v>
      </c>
      <c r="F9" s="140"/>
      <c r="G9" s="46"/>
      <c r="H9" s="158"/>
      <c r="I9" s="160"/>
      <c r="J9" s="158"/>
      <c r="K9" s="118"/>
    </row>
    <row r="10" spans="1:11" x14ac:dyDescent="0.3">
      <c r="A10" s="45">
        <v>6</v>
      </c>
      <c r="B10" s="46" t="s">
        <v>30</v>
      </c>
      <c r="C10" s="47">
        <v>8</v>
      </c>
      <c r="D10" s="48">
        <v>16685</v>
      </c>
      <c r="E10" s="127">
        <f>C10*D10</f>
        <v>133480</v>
      </c>
      <c r="F10" s="140"/>
      <c r="G10" s="46"/>
      <c r="H10" s="137"/>
      <c r="I10" s="155"/>
      <c r="J10" s="137"/>
      <c r="K10" s="118"/>
    </row>
    <row r="11" spans="1:11" x14ac:dyDescent="0.3">
      <c r="A11" s="45">
        <v>7</v>
      </c>
      <c r="B11" s="46" t="s">
        <v>31</v>
      </c>
      <c r="C11" s="47">
        <v>300</v>
      </c>
      <c r="D11" s="48">
        <v>350</v>
      </c>
      <c r="E11" s="127">
        <f>C11*D11</f>
        <v>105000</v>
      </c>
      <c r="F11" s="140"/>
      <c r="G11" s="46"/>
      <c r="H11" s="137"/>
      <c r="I11" s="155"/>
      <c r="J11" s="137"/>
      <c r="K11" s="118"/>
    </row>
    <row r="12" spans="1:11" x14ac:dyDescent="0.3">
      <c r="A12" s="45">
        <v>8</v>
      </c>
      <c r="B12" s="46" t="s">
        <v>22</v>
      </c>
      <c r="C12" s="47">
        <v>250</v>
      </c>
      <c r="D12" s="48">
        <v>1500</v>
      </c>
      <c r="E12" s="127">
        <f>C12*D12</f>
        <v>375000</v>
      </c>
      <c r="F12" s="140"/>
      <c r="G12" s="46" t="s">
        <v>22</v>
      </c>
      <c r="H12" s="158">
        <v>66</v>
      </c>
      <c r="I12" s="160">
        <v>1500</v>
      </c>
      <c r="J12" s="159">
        <f>+I12*H12</f>
        <v>99000</v>
      </c>
      <c r="K12" s="141"/>
    </row>
    <row r="13" spans="1:11" x14ac:dyDescent="0.3">
      <c r="A13" s="45">
        <v>9</v>
      </c>
      <c r="B13" s="46" t="s">
        <v>26</v>
      </c>
      <c r="C13" s="139">
        <v>25</v>
      </c>
      <c r="D13" s="47">
        <v>4150</v>
      </c>
      <c r="E13" s="127">
        <f>C13*D13</f>
        <v>103750</v>
      </c>
      <c r="F13" s="140"/>
      <c r="G13" s="46" t="s">
        <v>133</v>
      </c>
      <c r="H13" s="159">
        <v>17</v>
      </c>
      <c r="I13" s="160">
        <v>1150</v>
      </c>
      <c r="J13" s="159">
        <f>+I13*H13</f>
        <v>19550</v>
      </c>
      <c r="K13" s="141"/>
    </row>
    <row r="14" spans="1:11" x14ac:dyDescent="0.3">
      <c r="A14" s="45">
        <v>10</v>
      </c>
      <c r="B14" s="46" t="s">
        <v>29</v>
      </c>
      <c r="C14" s="47">
        <v>9</v>
      </c>
      <c r="D14" s="48">
        <v>5650</v>
      </c>
      <c r="E14" s="127">
        <f>C14*D14</f>
        <v>50850</v>
      </c>
      <c r="F14" s="140"/>
      <c r="G14" s="46" t="s">
        <v>29</v>
      </c>
      <c r="H14" s="159">
        <v>7</v>
      </c>
      <c r="I14" s="160">
        <v>2360</v>
      </c>
      <c r="J14" s="159">
        <f>+I14*H14</f>
        <v>16520</v>
      </c>
      <c r="K14" s="141"/>
    </row>
    <row r="15" spans="1:11" ht="15" thickBot="1" x14ac:dyDescent="0.35">
      <c r="A15" s="45"/>
      <c r="B15" s="207" t="s">
        <v>5</v>
      </c>
      <c r="C15" s="205"/>
      <c r="D15" s="208"/>
      <c r="E15" s="128">
        <f>SUM(E5:E14)</f>
        <v>1131275</v>
      </c>
      <c r="F15" s="168"/>
      <c r="G15" s="149" t="s">
        <v>5</v>
      </c>
      <c r="H15" s="149"/>
      <c r="I15" s="156"/>
      <c r="J15" s="147">
        <f>SUM(J3:J14)</f>
        <v>135070</v>
      </c>
      <c r="K15" s="118"/>
    </row>
    <row r="16" spans="1:11" ht="15" thickTop="1" x14ac:dyDescent="0.3"/>
    <row r="17" spans="1:11" x14ac:dyDescent="0.3">
      <c r="A17" s="45"/>
      <c r="B17" s="165" t="s">
        <v>66</v>
      </c>
      <c r="C17" s="47"/>
      <c r="D17" s="48"/>
      <c r="E17" s="103"/>
      <c r="F17" s="119"/>
      <c r="G17" s="165"/>
      <c r="H17" s="137"/>
      <c r="I17" s="155"/>
      <c r="J17" s="137"/>
      <c r="K17" s="118"/>
    </row>
    <row r="18" spans="1:11" x14ac:dyDescent="0.3">
      <c r="A18" s="45">
        <v>11</v>
      </c>
      <c r="B18" s="46" t="s">
        <v>33</v>
      </c>
      <c r="C18" s="47">
        <v>7</v>
      </c>
      <c r="D18" s="48">
        <v>2865</v>
      </c>
      <c r="E18" s="127">
        <f t="shared" si="0"/>
        <v>20055</v>
      </c>
      <c r="F18" s="140"/>
      <c r="G18" s="46"/>
      <c r="H18" s="119"/>
      <c r="I18" s="119"/>
      <c r="J18" s="119"/>
    </row>
    <row r="19" spans="1:11" x14ac:dyDescent="0.3">
      <c r="A19" s="45">
        <v>12</v>
      </c>
      <c r="B19" s="46" t="s">
        <v>34</v>
      </c>
      <c r="C19" s="47">
        <v>7</v>
      </c>
      <c r="D19" s="48">
        <v>1545</v>
      </c>
      <c r="E19" s="127">
        <f t="shared" si="0"/>
        <v>10815</v>
      </c>
      <c r="F19" s="140"/>
      <c r="G19" s="46"/>
      <c r="H19" s="119"/>
      <c r="I19" s="119"/>
      <c r="J19" s="119"/>
    </row>
    <row r="20" spans="1:11" x14ac:dyDescent="0.3">
      <c r="A20" s="45">
        <v>13</v>
      </c>
      <c r="B20" s="46" t="s">
        <v>35</v>
      </c>
      <c r="C20" s="47">
        <v>7</v>
      </c>
      <c r="D20" s="48">
        <v>1525</v>
      </c>
      <c r="E20" s="127">
        <f t="shared" si="0"/>
        <v>10675</v>
      </c>
      <c r="F20" s="140"/>
      <c r="G20" s="46"/>
      <c r="H20" s="119"/>
      <c r="I20" s="119"/>
      <c r="J20" s="119"/>
    </row>
    <row r="21" spans="1:11" x14ac:dyDescent="0.3">
      <c r="A21" s="45">
        <v>14</v>
      </c>
      <c r="B21" s="46" t="s">
        <v>36</v>
      </c>
      <c r="C21" s="47">
        <v>7</v>
      </c>
      <c r="D21" s="48">
        <v>1680</v>
      </c>
      <c r="E21" s="127">
        <f t="shared" si="0"/>
        <v>11760</v>
      </c>
      <c r="F21" s="140"/>
      <c r="G21" s="46"/>
      <c r="H21" s="119"/>
      <c r="I21" s="119"/>
      <c r="J21" s="119"/>
    </row>
    <row r="22" spans="1:11" x14ac:dyDescent="0.3">
      <c r="A22" s="45">
        <v>15</v>
      </c>
      <c r="B22" s="46" t="s">
        <v>37</v>
      </c>
      <c r="C22" s="47">
        <v>7</v>
      </c>
      <c r="D22" s="48">
        <v>845</v>
      </c>
      <c r="E22" s="127">
        <f t="shared" si="0"/>
        <v>5915</v>
      </c>
      <c r="F22" s="140"/>
      <c r="G22" s="46"/>
      <c r="H22" s="119"/>
      <c r="I22" s="119"/>
      <c r="J22" s="119"/>
    </row>
    <row r="23" spans="1:11" x14ac:dyDescent="0.3">
      <c r="A23" s="45">
        <v>16</v>
      </c>
      <c r="B23" s="46" t="s">
        <v>38</v>
      </c>
      <c r="C23" s="47">
        <v>7</v>
      </c>
      <c r="D23" s="48">
        <v>825</v>
      </c>
      <c r="E23" s="127">
        <f t="shared" si="0"/>
        <v>5775</v>
      </c>
      <c r="F23" s="140"/>
      <c r="G23" s="46"/>
      <c r="H23" s="119"/>
      <c r="I23" s="119"/>
      <c r="J23" s="119"/>
    </row>
    <row r="24" spans="1:11" x14ac:dyDescent="0.3">
      <c r="A24" s="45">
        <v>17</v>
      </c>
      <c r="B24" s="46" t="s">
        <v>39</v>
      </c>
      <c r="C24" s="47">
        <v>30</v>
      </c>
      <c r="D24" s="48">
        <v>575</v>
      </c>
      <c r="E24" s="127">
        <f t="shared" si="0"/>
        <v>17250</v>
      </c>
      <c r="F24" s="140"/>
      <c r="G24" s="46"/>
      <c r="H24" s="119"/>
      <c r="I24" s="119"/>
      <c r="J24" s="119"/>
    </row>
    <row r="25" spans="1:11" x14ac:dyDescent="0.3">
      <c r="A25" s="45">
        <v>18</v>
      </c>
      <c r="B25" s="46" t="s">
        <v>40</v>
      </c>
      <c r="C25" s="47">
        <v>7</v>
      </c>
      <c r="D25" s="48">
        <v>3495</v>
      </c>
      <c r="E25" s="127">
        <f t="shared" si="0"/>
        <v>24465</v>
      </c>
      <c r="F25" s="140"/>
      <c r="G25" s="46"/>
      <c r="H25" s="119"/>
      <c r="I25" s="119"/>
      <c r="J25" s="119"/>
    </row>
    <row r="26" spans="1:11" x14ac:dyDescent="0.3">
      <c r="A26" s="45">
        <v>19</v>
      </c>
      <c r="B26" s="46" t="s">
        <v>41</v>
      </c>
      <c r="C26" s="47">
        <v>7</v>
      </c>
      <c r="D26" s="48">
        <v>3195</v>
      </c>
      <c r="E26" s="127">
        <f t="shared" si="0"/>
        <v>22365</v>
      </c>
      <c r="F26" s="140"/>
      <c r="G26" s="46"/>
      <c r="H26" s="119"/>
      <c r="I26" s="119"/>
      <c r="J26" s="119"/>
    </row>
    <row r="27" spans="1:11" x14ac:dyDescent="0.3">
      <c r="A27" s="45">
        <v>20</v>
      </c>
      <c r="B27" s="46" t="s">
        <v>32</v>
      </c>
      <c r="C27" s="47">
        <v>9</v>
      </c>
      <c r="D27" s="48">
        <v>2525</v>
      </c>
      <c r="E27" s="127">
        <f>C27*D27</f>
        <v>22725</v>
      </c>
      <c r="F27" s="140"/>
      <c r="G27" s="46" t="s">
        <v>32</v>
      </c>
      <c r="H27" s="159">
        <v>5</v>
      </c>
      <c r="I27" s="160">
        <v>2850</v>
      </c>
      <c r="J27" s="159">
        <f>+I27*H27</f>
        <v>14250</v>
      </c>
      <c r="K27" s="141"/>
    </row>
    <row r="28" spans="1:11" ht="15" thickBot="1" x14ac:dyDescent="0.35">
      <c r="A28" s="45"/>
      <c r="B28" s="207" t="s">
        <v>5</v>
      </c>
      <c r="C28" s="205"/>
      <c r="D28" s="208"/>
      <c r="E28" s="128">
        <f>SUM(E18:E27)</f>
        <v>151800</v>
      </c>
      <c r="F28" s="140"/>
      <c r="G28" s="149" t="s">
        <v>5</v>
      </c>
      <c r="H28" s="146"/>
      <c r="I28" s="146"/>
      <c r="J28" s="147">
        <f>SUM(J18:J27)</f>
        <v>14250</v>
      </c>
    </row>
    <row r="29" spans="1:11" ht="15" thickTop="1" x14ac:dyDescent="0.3">
      <c r="A29" s="198"/>
      <c r="B29" s="198"/>
      <c r="C29" s="198"/>
      <c r="D29" s="198"/>
      <c r="E29" s="29"/>
      <c r="F29" s="140"/>
      <c r="G29" s="143"/>
      <c r="H29" s="143"/>
      <c r="I29" s="143"/>
      <c r="J29" s="145"/>
    </row>
    <row r="30" spans="1:11" x14ac:dyDescent="0.3">
      <c r="A30" s="2"/>
      <c r="B30" s="30" t="s">
        <v>88</v>
      </c>
      <c r="C30" s="3"/>
      <c r="D30" s="5"/>
      <c r="E30" s="6"/>
      <c r="G30" s="30" t="s">
        <v>88</v>
      </c>
      <c r="H30" s="119"/>
      <c r="I30" s="119"/>
      <c r="J30" s="119"/>
    </row>
    <row r="31" spans="1:11" x14ac:dyDescent="0.3">
      <c r="A31" s="45">
        <v>21</v>
      </c>
      <c r="B31" s="46" t="s">
        <v>43</v>
      </c>
      <c r="C31" s="47">
        <v>50</v>
      </c>
      <c r="D31" s="48">
        <v>3000</v>
      </c>
      <c r="E31" s="49">
        <f>C31*D31</f>
        <v>150000</v>
      </c>
      <c r="G31" s="46"/>
      <c r="H31" s="119"/>
      <c r="I31" s="119"/>
      <c r="J31" s="119"/>
    </row>
    <row r="32" spans="1:11" x14ac:dyDescent="0.3">
      <c r="A32" s="45">
        <v>22</v>
      </c>
      <c r="B32" s="46" t="s">
        <v>44</v>
      </c>
      <c r="C32" s="47">
        <v>50</v>
      </c>
      <c r="D32" s="48">
        <v>6000</v>
      </c>
      <c r="E32" s="49">
        <f t="shared" ref="E32:E34" si="1">C32*D32</f>
        <v>300000</v>
      </c>
      <c r="G32" s="46"/>
      <c r="H32" s="119"/>
      <c r="I32" s="119"/>
      <c r="J32" s="119"/>
    </row>
    <row r="33" spans="1:13" x14ac:dyDescent="0.3">
      <c r="A33" s="45">
        <v>23</v>
      </c>
      <c r="B33" s="46" t="s">
        <v>45</v>
      </c>
      <c r="C33" s="47">
        <v>50</v>
      </c>
      <c r="D33" s="48">
        <v>7000</v>
      </c>
      <c r="E33" s="49">
        <f t="shared" si="1"/>
        <v>350000</v>
      </c>
      <c r="G33" s="46"/>
      <c r="H33" s="119"/>
      <c r="I33" s="119"/>
      <c r="J33" s="119"/>
    </row>
    <row r="34" spans="1:13" x14ac:dyDescent="0.3">
      <c r="A34" s="45">
        <v>24</v>
      </c>
      <c r="B34" s="46" t="s">
        <v>46</v>
      </c>
      <c r="C34" s="47">
        <v>50</v>
      </c>
      <c r="D34" s="48">
        <v>4500</v>
      </c>
      <c r="E34" s="49">
        <f t="shared" si="1"/>
        <v>225000</v>
      </c>
      <c r="G34" s="46"/>
      <c r="H34" s="142"/>
      <c r="I34" s="142"/>
      <c r="J34" s="142"/>
    </row>
    <row r="35" spans="1:13" ht="15" thickBot="1" x14ac:dyDescent="0.35">
      <c r="A35" s="113"/>
      <c r="B35" s="212" t="s">
        <v>5</v>
      </c>
      <c r="C35" s="213"/>
      <c r="D35" s="214"/>
      <c r="E35" s="164">
        <f>SUM(E31:E34)</f>
        <v>1025000</v>
      </c>
      <c r="F35" s="140"/>
      <c r="G35" s="149" t="s">
        <v>5</v>
      </c>
      <c r="H35" s="119"/>
      <c r="I35" s="119"/>
      <c r="J35" s="119"/>
    </row>
    <row r="36" spans="1:13" ht="15.6" thickTop="1" thickBot="1" x14ac:dyDescent="0.35">
      <c r="A36" s="169"/>
      <c r="B36" s="205" t="s">
        <v>81</v>
      </c>
      <c r="C36" s="205"/>
      <c r="D36" s="205"/>
      <c r="E36" s="36">
        <f>+E35+E28+E15</f>
        <v>2308075</v>
      </c>
      <c r="G36" s="205" t="s">
        <v>81</v>
      </c>
      <c r="H36" s="205"/>
      <c r="I36" s="205"/>
      <c r="J36" s="172">
        <f>+J28+J15+J35</f>
        <v>149320</v>
      </c>
    </row>
    <row r="37" spans="1:13" ht="15" thickTop="1" x14ac:dyDescent="0.3">
      <c r="A37" s="2"/>
      <c r="B37" s="171"/>
      <c r="C37" s="171"/>
      <c r="D37" s="171"/>
      <c r="E37" s="54"/>
      <c r="G37" s="171"/>
      <c r="H37" s="171"/>
      <c r="I37" s="171"/>
      <c r="J37" s="170"/>
    </row>
    <row r="38" spans="1:13" ht="31.2" x14ac:dyDescent="0.3">
      <c r="F38" t="s">
        <v>116</v>
      </c>
      <c r="G38" s="42" t="s">
        <v>0</v>
      </c>
      <c r="H38" s="41" t="s">
        <v>1</v>
      </c>
      <c r="I38" s="43" t="s">
        <v>3</v>
      </c>
      <c r="J38" s="41" t="s">
        <v>2</v>
      </c>
    </row>
    <row r="39" spans="1:13" x14ac:dyDescent="0.3">
      <c r="F39" s="144">
        <v>1</v>
      </c>
      <c r="G39" s="119" t="s">
        <v>122</v>
      </c>
      <c r="H39" s="119">
        <v>4</v>
      </c>
      <c r="I39" s="181">
        <v>2390</v>
      </c>
      <c r="J39" s="151">
        <f>+I39*H39</f>
        <v>9560</v>
      </c>
      <c r="K39" s="182" t="s">
        <v>139</v>
      </c>
      <c r="L39" t="s">
        <v>140</v>
      </c>
    </row>
    <row r="40" spans="1:13" x14ac:dyDescent="0.3">
      <c r="F40" s="144">
        <v>2</v>
      </c>
      <c r="G40" s="119" t="s">
        <v>132</v>
      </c>
      <c r="H40" s="119">
        <v>3</v>
      </c>
      <c r="I40" s="151">
        <v>1300</v>
      </c>
      <c r="J40" s="151">
        <f t="shared" ref="J40:J47" si="2">+I40*H40</f>
        <v>3900</v>
      </c>
      <c r="K40" s="182" t="s">
        <v>137</v>
      </c>
      <c r="L40" t="s">
        <v>141</v>
      </c>
    </row>
    <row r="41" spans="1:13" x14ac:dyDescent="0.3">
      <c r="F41" s="144">
        <v>3</v>
      </c>
      <c r="G41" s="119" t="s">
        <v>108</v>
      </c>
      <c r="H41" s="119">
        <v>6</v>
      </c>
      <c r="I41" s="181">
        <v>1000</v>
      </c>
      <c r="J41" s="151">
        <f t="shared" si="2"/>
        <v>6000</v>
      </c>
      <c r="K41" s="183" t="s">
        <v>135</v>
      </c>
      <c r="L41" t="s">
        <v>138</v>
      </c>
    </row>
    <row r="42" spans="1:13" x14ac:dyDescent="0.3">
      <c r="F42" s="144">
        <v>4</v>
      </c>
      <c r="G42" s="119" t="s">
        <v>130</v>
      </c>
      <c r="H42" s="119">
        <v>13</v>
      </c>
      <c r="I42" s="119"/>
      <c r="J42" s="151">
        <f t="shared" si="2"/>
        <v>0</v>
      </c>
    </row>
    <row r="43" spans="1:13" x14ac:dyDescent="0.3">
      <c r="F43" s="144">
        <v>5</v>
      </c>
      <c r="G43" s="119" t="s">
        <v>112</v>
      </c>
      <c r="H43" s="119">
        <v>17</v>
      </c>
      <c r="I43" s="119"/>
      <c r="J43" s="151">
        <f t="shared" si="2"/>
        <v>0</v>
      </c>
    </row>
    <row r="44" spans="1:13" x14ac:dyDescent="0.3">
      <c r="F44" s="144">
        <v>6</v>
      </c>
      <c r="G44" s="119" t="s">
        <v>128</v>
      </c>
      <c r="H44" s="119">
        <v>1</v>
      </c>
      <c r="I44" s="119"/>
      <c r="J44" s="151">
        <f t="shared" si="2"/>
        <v>0</v>
      </c>
      <c r="M44" t="s">
        <v>136</v>
      </c>
    </row>
    <row r="45" spans="1:13" x14ac:dyDescent="0.3">
      <c r="F45" s="144">
        <v>7</v>
      </c>
      <c r="G45" s="119" t="s">
        <v>129</v>
      </c>
      <c r="H45" s="119">
        <v>20</v>
      </c>
      <c r="I45" s="119"/>
      <c r="J45" s="151">
        <f t="shared" si="2"/>
        <v>0</v>
      </c>
    </row>
    <row r="46" spans="1:13" x14ac:dyDescent="0.3">
      <c r="F46" s="144">
        <v>8</v>
      </c>
      <c r="G46" s="119" t="s">
        <v>127</v>
      </c>
      <c r="H46" s="119">
        <v>20</v>
      </c>
      <c r="I46" s="119"/>
      <c r="J46" s="151">
        <f t="shared" si="2"/>
        <v>0</v>
      </c>
    </row>
    <row r="47" spans="1:13" x14ac:dyDescent="0.3">
      <c r="F47" s="144">
        <v>9</v>
      </c>
      <c r="G47" s="142" t="s">
        <v>115</v>
      </c>
      <c r="H47" s="142">
        <v>2</v>
      </c>
      <c r="I47" s="142"/>
      <c r="J47" s="151">
        <f t="shared" si="2"/>
        <v>0</v>
      </c>
    </row>
    <row r="48" spans="1:13" x14ac:dyDescent="0.3">
      <c r="F48" s="144">
        <v>10</v>
      </c>
      <c r="G48" s="119" t="s">
        <v>93</v>
      </c>
      <c r="H48" s="119">
        <v>30</v>
      </c>
      <c r="I48" s="151">
        <v>270</v>
      </c>
      <c r="J48" s="151">
        <f t="shared" ref="J48:J62" si="3">+I48*H48</f>
        <v>8100</v>
      </c>
    </row>
    <row r="49" spans="6:10" x14ac:dyDescent="0.3">
      <c r="F49" s="144">
        <v>11</v>
      </c>
      <c r="G49" s="119" t="s">
        <v>120</v>
      </c>
      <c r="H49" s="119">
        <v>3</v>
      </c>
      <c r="I49" s="151">
        <v>2250</v>
      </c>
      <c r="J49" s="151">
        <f t="shared" si="3"/>
        <v>6750</v>
      </c>
    </row>
    <row r="50" spans="6:10" x14ac:dyDescent="0.3">
      <c r="F50" s="144">
        <v>12</v>
      </c>
      <c r="G50" s="119" t="s">
        <v>121</v>
      </c>
      <c r="H50" s="119">
        <v>6</v>
      </c>
      <c r="I50" s="151">
        <v>2300</v>
      </c>
      <c r="J50" s="151">
        <f t="shared" si="3"/>
        <v>13800</v>
      </c>
    </row>
    <row r="51" spans="6:10" x14ac:dyDescent="0.3">
      <c r="F51" s="144">
        <v>13</v>
      </c>
      <c r="G51" s="119" t="s">
        <v>96</v>
      </c>
      <c r="H51" s="119">
        <v>5</v>
      </c>
      <c r="I51" s="151">
        <v>2390</v>
      </c>
      <c r="J51" s="151">
        <f t="shared" si="3"/>
        <v>11950</v>
      </c>
    </row>
    <row r="52" spans="6:10" x14ac:dyDescent="0.3">
      <c r="F52" s="144">
        <v>14</v>
      </c>
      <c r="G52" s="119" t="s">
        <v>97</v>
      </c>
      <c r="H52" s="119">
        <v>3</v>
      </c>
      <c r="I52" s="151">
        <v>1180</v>
      </c>
      <c r="J52" s="151">
        <f t="shared" si="3"/>
        <v>3540</v>
      </c>
    </row>
    <row r="53" spans="6:10" x14ac:dyDescent="0.3">
      <c r="F53" s="144">
        <v>15</v>
      </c>
      <c r="G53" s="119" t="s">
        <v>123</v>
      </c>
      <c r="H53" s="119">
        <v>3</v>
      </c>
      <c r="I53" s="151">
        <v>2890</v>
      </c>
      <c r="J53" s="151">
        <f t="shared" si="3"/>
        <v>8670</v>
      </c>
    </row>
    <row r="54" spans="6:10" x14ac:dyDescent="0.3">
      <c r="F54" s="144">
        <v>16</v>
      </c>
      <c r="G54" s="119" t="s">
        <v>124</v>
      </c>
      <c r="H54" s="119">
        <v>3</v>
      </c>
      <c r="I54" s="151">
        <v>1890</v>
      </c>
      <c r="J54" s="151">
        <f t="shared" si="3"/>
        <v>5670</v>
      </c>
    </row>
    <row r="55" spans="6:10" x14ac:dyDescent="0.3">
      <c r="F55" s="144">
        <v>17</v>
      </c>
      <c r="G55" s="119" t="s">
        <v>125</v>
      </c>
      <c r="H55" s="119">
        <v>3</v>
      </c>
      <c r="I55" s="151">
        <v>1990</v>
      </c>
      <c r="J55" s="151">
        <f t="shared" si="3"/>
        <v>5970</v>
      </c>
    </row>
    <row r="56" spans="6:10" x14ac:dyDescent="0.3">
      <c r="F56" s="144">
        <v>18</v>
      </c>
      <c r="G56" s="119" t="s">
        <v>102</v>
      </c>
      <c r="H56" s="119">
        <v>6</v>
      </c>
      <c r="I56" s="151">
        <v>1745</v>
      </c>
      <c r="J56" s="151">
        <f t="shared" si="3"/>
        <v>10470</v>
      </c>
    </row>
    <row r="57" spans="6:10" x14ac:dyDescent="0.3">
      <c r="F57" s="144">
        <v>19</v>
      </c>
      <c r="G57" s="119" t="s">
        <v>126</v>
      </c>
      <c r="H57" s="119">
        <v>5</v>
      </c>
      <c r="I57" s="151">
        <v>1800</v>
      </c>
      <c r="J57" s="151">
        <f t="shared" si="3"/>
        <v>9000</v>
      </c>
    </row>
    <row r="58" spans="6:10" x14ac:dyDescent="0.3">
      <c r="F58" s="144">
        <v>20</v>
      </c>
      <c r="G58" s="119" t="s">
        <v>105</v>
      </c>
      <c r="H58" s="119">
        <v>2</v>
      </c>
      <c r="I58" s="151">
        <v>1800</v>
      </c>
      <c r="J58" s="151">
        <f t="shared" si="3"/>
        <v>3600</v>
      </c>
    </row>
    <row r="59" spans="6:10" x14ac:dyDescent="0.3">
      <c r="F59" s="144">
        <v>21</v>
      </c>
      <c r="G59" s="119" t="s">
        <v>131</v>
      </c>
      <c r="H59" s="119">
        <v>2</v>
      </c>
      <c r="I59" s="151">
        <v>3400</v>
      </c>
      <c r="J59" s="151">
        <f t="shared" si="3"/>
        <v>6800</v>
      </c>
    </row>
    <row r="60" spans="6:10" x14ac:dyDescent="0.3">
      <c r="F60" s="144">
        <v>22</v>
      </c>
      <c r="G60" s="119" t="s">
        <v>107</v>
      </c>
      <c r="H60" s="119">
        <v>4</v>
      </c>
      <c r="I60" s="151">
        <v>1900</v>
      </c>
      <c r="J60" s="151">
        <f t="shared" si="3"/>
        <v>7600</v>
      </c>
    </row>
    <row r="61" spans="6:10" x14ac:dyDescent="0.3">
      <c r="F61" s="144">
        <v>23</v>
      </c>
      <c r="G61" s="119" t="s">
        <v>109</v>
      </c>
      <c r="H61" s="119">
        <v>3</v>
      </c>
      <c r="I61" s="151">
        <v>1500</v>
      </c>
      <c r="J61" s="151">
        <f t="shared" si="3"/>
        <v>4500</v>
      </c>
    </row>
    <row r="62" spans="6:10" x14ac:dyDescent="0.3">
      <c r="F62" s="144">
        <v>24</v>
      </c>
      <c r="G62" s="119" t="s">
        <v>110</v>
      </c>
      <c r="H62" s="119">
        <v>4</v>
      </c>
      <c r="I62" s="151">
        <v>800</v>
      </c>
      <c r="J62" s="151">
        <f t="shared" si="3"/>
        <v>3200</v>
      </c>
    </row>
    <row r="63" spans="6:10" ht="15" thickBot="1" x14ac:dyDescent="0.35">
      <c r="F63" s="117"/>
      <c r="G63" s="209" t="s">
        <v>5</v>
      </c>
      <c r="H63" s="210"/>
      <c r="I63" s="211"/>
      <c r="J63" s="153">
        <f>SUM(J39:J62)</f>
        <v>129080</v>
      </c>
    </row>
    <row r="64" spans="6:10" ht="15" thickTop="1" x14ac:dyDescent="0.3">
      <c r="J64" s="154"/>
    </row>
  </sheetData>
  <mergeCells count="9">
    <mergeCell ref="B36:D36"/>
    <mergeCell ref="G36:I36"/>
    <mergeCell ref="G63:I63"/>
    <mergeCell ref="A1:E1"/>
    <mergeCell ref="G1:J1"/>
    <mergeCell ref="B15:D15"/>
    <mergeCell ref="B28:D28"/>
    <mergeCell ref="A29:D29"/>
    <mergeCell ref="B35:D35"/>
  </mergeCells>
  <pageMargins left="0.70866141732283472" right="0.70866141732283472" top="0.74803149606299213" bottom="0.74803149606299213" header="0.31496062992125984" footer="0.31496062992125984"/>
  <pageSetup scale="6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U67"/>
  <sheetViews>
    <sheetView tabSelected="1" topLeftCell="A6" zoomScale="85" zoomScaleNormal="85" zoomScaleSheetLayoutView="106" workbookViewId="0">
      <selection activeCell="H5" sqref="H5"/>
    </sheetView>
  </sheetViews>
  <sheetFormatPr defaultRowHeight="14.4" x14ac:dyDescent="0.3"/>
  <cols>
    <col min="2" max="2" width="4" bestFit="1" customWidth="1"/>
    <col min="3" max="3" width="26.44140625" customWidth="1"/>
    <col min="4" max="4" width="8.109375" bestFit="1" customWidth="1"/>
    <col min="5" max="5" width="11.33203125" customWidth="1"/>
    <col min="6" max="6" width="13.33203125" bestFit="1" customWidth="1"/>
    <col min="7" max="7" width="3.44140625" customWidth="1"/>
    <col min="8" max="8" width="5.21875" bestFit="1" customWidth="1"/>
    <col min="9" max="9" width="10.44140625" customWidth="1"/>
    <col min="10" max="10" width="10.6640625" customWidth="1"/>
    <col min="11" max="11" width="13" customWidth="1"/>
    <col min="15" max="15" width="3.77734375" customWidth="1"/>
    <col min="16" max="16" width="12.5546875" customWidth="1"/>
    <col min="17" max="17" width="2.33203125" hidden="1" customWidth="1"/>
    <col min="21" max="21" width="10.44140625" bestFit="1" customWidth="1"/>
  </cols>
  <sheetData>
    <row r="2" spans="2:17" ht="31.2" x14ac:dyDescent="0.6">
      <c r="B2" s="228" t="s">
        <v>155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</row>
    <row r="3" spans="2:17" ht="31.8" thickBot="1" x14ac:dyDescent="0.65"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</row>
    <row r="4" spans="2:17" ht="24" thickBot="1" x14ac:dyDescent="0.5">
      <c r="B4" s="296" t="s">
        <v>142</v>
      </c>
      <c r="C4" s="297"/>
      <c r="D4" s="297"/>
      <c r="E4" s="297"/>
      <c r="F4" s="298"/>
      <c r="G4" s="122"/>
      <c r="H4" s="299" t="s">
        <v>156</v>
      </c>
      <c r="I4" s="300"/>
      <c r="J4" s="300"/>
      <c r="K4" s="300"/>
      <c r="L4" s="300"/>
      <c r="M4" s="300"/>
      <c r="N4" s="300"/>
      <c r="O4" s="300"/>
      <c r="P4" s="301"/>
    </row>
    <row r="5" spans="2:17" ht="24" thickBot="1" x14ac:dyDescent="0.5">
      <c r="B5" s="271"/>
      <c r="C5" s="271"/>
      <c r="D5" s="271"/>
      <c r="E5" s="271"/>
      <c r="F5" s="271"/>
      <c r="G5" s="122"/>
      <c r="H5" s="275"/>
      <c r="I5" s="275"/>
      <c r="J5" s="275"/>
    </row>
    <row r="6" spans="2:17" s="7" customFormat="1" ht="28.5" customHeight="1" thickBot="1" x14ac:dyDescent="0.35">
      <c r="B6" s="9" t="s">
        <v>4</v>
      </c>
      <c r="C6" s="285" t="s">
        <v>0</v>
      </c>
      <c r="D6" s="286" t="s">
        <v>1</v>
      </c>
      <c r="E6" s="11" t="s">
        <v>3</v>
      </c>
      <c r="F6" s="23" t="s">
        <v>2</v>
      </c>
      <c r="G6" s="293"/>
      <c r="H6" s="23" t="s">
        <v>1</v>
      </c>
      <c r="I6" s="291" t="s">
        <v>3</v>
      </c>
      <c r="J6" s="290" t="s">
        <v>2</v>
      </c>
      <c r="K6" s="289" t="s">
        <v>150</v>
      </c>
      <c r="L6" s="287"/>
      <c r="M6" s="287"/>
      <c r="N6" s="287"/>
      <c r="O6" s="287"/>
      <c r="P6" s="288"/>
    </row>
    <row r="7" spans="2:17" ht="40.049999999999997" customHeight="1" x14ac:dyDescent="0.3">
      <c r="B7" s="276">
        <v>1</v>
      </c>
      <c r="C7" s="277" t="s">
        <v>22</v>
      </c>
      <c r="D7" s="278">
        <v>250</v>
      </c>
      <c r="E7" s="279">
        <v>1500</v>
      </c>
      <c r="F7" s="280">
        <f>D7*E7</f>
        <v>375000</v>
      </c>
      <c r="G7" s="294"/>
      <c r="H7" s="276">
        <v>200</v>
      </c>
      <c r="I7" s="281">
        <v>1500</v>
      </c>
      <c r="J7" s="282">
        <f>I7*H7</f>
        <v>300000</v>
      </c>
      <c r="K7" s="283" t="s">
        <v>152</v>
      </c>
      <c r="L7" s="284"/>
      <c r="M7" s="284"/>
      <c r="N7" s="284"/>
      <c r="O7" s="284"/>
      <c r="P7" s="284"/>
    </row>
    <row r="8" spans="2:17" ht="40.049999999999997" customHeight="1" x14ac:dyDescent="0.3">
      <c r="B8" s="249">
        <v>2</v>
      </c>
      <c r="C8" s="250" t="s">
        <v>26</v>
      </c>
      <c r="D8" s="255">
        <v>25</v>
      </c>
      <c r="E8" s="251">
        <v>4150</v>
      </c>
      <c r="F8" s="253">
        <f>D8*E8</f>
        <v>103750</v>
      </c>
      <c r="G8" s="294"/>
      <c r="H8" s="249">
        <v>14</v>
      </c>
      <c r="I8" s="256">
        <v>4150</v>
      </c>
      <c r="J8" s="254">
        <f t="shared" ref="J8:J14" si="0">I8*H8</f>
        <v>58100</v>
      </c>
      <c r="K8" s="269"/>
      <c r="L8" s="269"/>
      <c r="M8" s="269"/>
      <c r="N8" s="269"/>
      <c r="O8" s="269"/>
      <c r="P8" s="269"/>
    </row>
    <row r="9" spans="2:17" ht="40.049999999999997" customHeight="1" x14ac:dyDescent="0.3">
      <c r="B9" s="249">
        <v>3</v>
      </c>
      <c r="C9" s="250" t="s">
        <v>29</v>
      </c>
      <c r="D9" s="251">
        <v>9</v>
      </c>
      <c r="E9" s="252">
        <v>5650</v>
      </c>
      <c r="F9" s="253">
        <f>D9*E9</f>
        <v>50850</v>
      </c>
      <c r="G9" s="294"/>
      <c r="H9" s="249">
        <v>7</v>
      </c>
      <c r="I9" s="256">
        <v>5650</v>
      </c>
      <c r="J9" s="254">
        <f t="shared" si="0"/>
        <v>39550</v>
      </c>
      <c r="K9" s="269"/>
      <c r="L9" s="269"/>
      <c r="M9" s="269"/>
      <c r="N9" s="269"/>
      <c r="O9" s="269"/>
      <c r="P9" s="269"/>
    </row>
    <row r="10" spans="2:17" ht="40.049999999999997" customHeight="1" x14ac:dyDescent="0.3">
      <c r="B10" s="249">
        <v>4</v>
      </c>
      <c r="C10" s="250" t="s">
        <v>32</v>
      </c>
      <c r="D10" s="251">
        <v>9</v>
      </c>
      <c r="E10" s="252">
        <v>2525</v>
      </c>
      <c r="F10" s="253">
        <f>D10*E10</f>
        <v>22725</v>
      </c>
      <c r="G10" s="294"/>
      <c r="H10" s="249">
        <v>5</v>
      </c>
      <c r="I10" s="256">
        <v>2525</v>
      </c>
      <c r="J10" s="254">
        <f t="shared" si="0"/>
        <v>12625</v>
      </c>
      <c r="K10" s="269"/>
      <c r="L10" s="269"/>
      <c r="M10" s="269"/>
      <c r="N10" s="269"/>
      <c r="O10" s="269"/>
      <c r="P10" s="269"/>
    </row>
    <row r="11" spans="2:17" ht="40.049999999999997" customHeight="1" x14ac:dyDescent="0.3">
      <c r="B11" s="249">
        <v>5</v>
      </c>
      <c r="C11" s="250" t="s">
        <v>43</v>
      </c>
      <c r="D11" s="251">
        <v>50</v>
      </c>
      <c r="E11" s="252">
        <v>3000</v>
      </c>
      <c r="F11" s="253">
        <f>D11*E11</f>
        <v>150000</v>
      </c>
      <c r="G11" s="294"/>
      <c r="H11" s="257">
        <v>39</v>
      </c>
      <c r="I11" s="256">
        <v>3000</v>
      </c>
      <c r="J11" s="254">
        <f t="shared" si="0"/>
        <v>117000</v>
      </c>
      <c r="K11" s="216"/>
      <c r="L11" s="216"/>
      <c r="M11" s="216"/>
      <c r="N11" s="216"/>
      <c r="O11" s="216"/>
      <c r="P11" s="216"/>
      <c r="Q11" s="187"/>
    </row>
    <row r="12" spans="2:17" ht="40.049999999999997" customHeight="1" x14ac:dyDescent="0.3">
      <c r="B12" s="249">
        <v>6</v>
      </c>
      <c r="C12" s="250" t="s">
        <v>44</v>
      </c>
      <c r="D12" s="251">
        <v>50</v>
      </c>
      <c r="E12" s="252">
        <v>6000</v>
      </c>
      <c r="F12" s="253">
        <f t="shared" ref="F12:F14" si="1">D12*E12</f>
        <v>300000</v>
      </c>
      <c r="G12" s="294"/>
      <c r="H12" s="257">
        <v>6</v>
      </c>
      <c r="I12" s="256">
        <v>6000</v>
      </c>
      <c r="J12" s="254">
        <f t="shared" si="0"/>
        <v>36000</v>
      </c>
      <c r="K12" s="270"/>
      <c r="L12" s="270"/>
      <c r="M12" s="270"/>
      <c r="N12" s="270"/>
      <c r="O12" s="270"/>
      <c r="P12" s="270"/>
      <c r="Q12" s="188"/>
    </row>
    <row r="13" spans="2:17" ht="40.049999999999997" customHeight="1" x14ac:dyDescent="0.3">
      <c r="B13" s="249">
        <v>7</v>
      </c>
      <c r="C13" s="250" t="s">
        <v>45</v>
      </c>
      <c r="D13" s="251">
        <v>50</v>
      </c>
      <c r="E13" s="252">
        <v>7000</v>
      </c>
      <c r="F13" s="253">
        <f t="shared" si="1"/>
        <v>350000</v>
      </c>
      <c r="G13" s="294"/>
      <c r="H13" s="257">
        <v>16</v>
      </c>
      <c r="I13" s="258">
        <v>7000</v>
      </c>
      <c r="J13" s="254">
        <f t="shared" si="0"/>
        <v>112000</v>
      </c>
      <c r="K13" s="272"/>
      <c r="L13" s="273"/>
      <c r="M13" s="273"/>
      <c r="N13" s="273"/>
      <c r="O13" s="273"/>
      <c r="P13" s="274"/>
      <c r="Q13" s="188"/>
    </row>
    <row r="14" spans="2:17" ht="40.049999999999997" customHeight="1" thickBot="1" x14ac:dyDescent="0.35">
      <c r="B14" s="259">
        <v>8</v>
      </c>
      <c r="C14" s="260" t="s">
        <v>46</v>
      </c>
      <c r="D14" s="261">
        <v>50</v>
      </c>
      <c r="E14" s="262">
        <v>4500</v>
      </c>
      <c r="F14" s="292">
        <f t="shared" si="1"/>
        <v>225000</v>
      </c>
      <c r="G14" s="295"/>
      <c r="H14" s="263">
        <v>50</v>
      </c>
      <c r="I14" s="262">
        <v>4500</v>
      </c>
      <c r="J14" s="264">
        <f t="shared" si="0"/>
        <v>225000</v>
      </c>
      <c r="K14" s="229" t="s">
        <v>154</v>
      </c>
      <c r="L14" s="229"/>
      <c r="M14" s="229"/>
      <c r="N14" s="229"/>
      <c r="O14" s="229"/>
      <c r="P14" s="229"/>
      <c r="Q14" s="189"/>
    </row>
    <row r="15" spans="2:17" ht="16.2" thickBot="1" x14ac:dyDescent="0.35">
      <c r="B15" s="265"/>
      <c r="C15" s="245" t="s">
        <v>5</v>
      </c>
      <c r="D15" s="266"/>
      <c r="E15" s="267"/>
      <c r="F15" s="246">
        <f>SUM(F7:F14)</f>
        <v>1577325</v>
      </c>
      <c r="G15" s="295"/>
      <c r="H15" s="268"/>
      <c r="I15" s="267"/>
      <c r="J15" s="247">
        <f>SUM(J7:J14)</f>
        <v>900275</v>
      </c>
      <c r="K15" s="248"/>
      <c r="L15" s="248"/>
      <c r="M15" s="248"/>
      <c r="N15" s="248"/>
      <c r="O15" s="248"/>
      <c r="P15" s="248"/>
      <c r="Q15" s="189"/>
    </row>
    <row r="16" spans="2:17" ht="15" thickTop="1" x14ac:dyDescent="0.3">
      <c r="B16" s="231"/>
      <c r="C16" s="234"/>
      <c r="D16" s="31"/>
      <c r="E16" s="232"/>
      <c r="F16" s="32"/>
      <c r="G16" s="233"/>
      <c r="H16" s="235"/>
      <c r="I16" s="232"/>
      <c r="J16" s="244"/>
      <c r="K16" s="230"/>
      <c r="L16" s="230"/>
      <c r="M16" s="230"/>
      <c r="N16" s="230"/>
      <c r="O16" s="230"/>
      <c r="P16" s="230"/>
      <c r="Q16" s="189"/>
    </row>
    <row r="17" spans="2:21" x14ac:dyDescent="0.3">
      <c r="B17" s="231"/>
      <c r="C17" s="234"/>
      <c r="D17" s="31"/>
      <c r="E17" s="232"/>
      <c r="F17" s="32"/>
      <c r="G17" s="233"/>
      <c r="H17" s="235"/>
      <c r="I17" s="232"/>
      <c r="J17" s="244"/>
      <c r="K17" s="230"/>
      <c r="L17" s="230"/>
      <c r="M17" s="230"/>
      <c r="N17" s="230"/>
      <c r="O17" s="230"/>
      <c r="P17" s="230"/>
      <c r="Q17" s="189"/>
    </row>
    <row r="18" spans="2:21" ht="31.2" x14ac:dyDescent="0.3">
      <c r="B18" s="236" t="s">
        <v>4</v>
      </c>
      <c r="C18" s="237" t="s">
        <v>0</v>
      </c>
      <c r="D18" s="7" t="s">
        <v>1</v>
      </c>
      <c r="E18" s="238" t="s">
        <v>3</v>
      </c>
      <c r="F18" s="239" t="s">
        <v>2</v>
      </c>
      <c r="G18" s="240"/>
      <c r="H18" s="241" t="s">
        <v>1</v>
      </c>
      <c r="I18" s="242" t="s">
        <v>3</v>
      </c>
      <c r="J18" s="241" t="s">
        <v>2</v>
      </c>
      <c r="K18" s="243" t="s">
        <v>150</v>
      </c>
      <c r="L18" s="243"/>
      <c r="M18" s="243"/>
      <c r="N18" s="243"/>
      <c r="O18" s="243"/>
      <c r="P18" s="243"/>
      <c r="Q18" s="189"/>
    </row>
    <row r="19" spans="2:21" ht="30.75" customHeight="1" x14ac:dyDescent="0.3">
      <c r="B19" s="45">
        <v>9</v>
      </c>
      <c r="C19" s="46" t="s">
        <v>23</v>
      </c>
      <c r="D19" s="47">
        <v>10000</v>
      </c>
      <c r="E19" s="48"/>
      <c r="F19" s="127">
        <v>180000</v>
      </c>
      <c r="G19" s="140"/>
      <c r="H19" s="190" t="s">
        <v>147</v>
      </c>
      <c r="I19" s="158"/>
      <c r="J19" s="184"/>
      <c r="K19" s="217" t="s">
        <v>151</v>
      </c>
      <c r="L19" s="218"/>
      <c r="M19" s="218"/>
      <c r="N19" s="218"/>
      <c r="O19" s="218"/>
      <c r="P19" s="219"/>
      <c r="Q19" s="192"/>
    </row>
    <row r="20" spans="2:21" ht="27.75" customHeight="1" x14ac:dyDescent="0.3">
      <c r="B20" s="45">
        <v>10</v>
      </c>
      <c r="C20" s="46" t="s">
        <v>149</v>
      </c>
      <c r="D20" s="47">
        <v>2389</v>
      </c>
      <c r="E20" s="48"/>
      <c r="F20" s="127">
        <v>64395</v>
      </c>
      <c r="G20" s="140"/>
      <c r="H20" s="190" t="s">
        <v>147</v>
      </c>
      <c r="I20" s="158"/>
      <c r="J20" s="184"/>
      <c r="K20" s="220"/>
      <c r="L20" s="221"/>
      <c r="M20" s="221"/>
      <c r="N20" s="221"/>
      <c r="O20" s="221"/>
      <c r="P20" s="222"/>
      <c r="Q20" s="192"/>
      <c r="U20" s="186"/>
    </row>
    <row r="21" spans="2:21" ht="16.5" customHeight="1" x14ac:dyDescent="0.3">
      <c r="B21" s="45">
        <v>11</v>
      </c>
      <c r="C21" s="46" t="s">
        <v>25</v>
      </c>
      <c r="D21" s="139">
        <v>4</v>
      </c>
      <c r="E21" s="47">
        <v>9000</v>
      </c>
      <c r="F21" s="127">
        <f>+D21*E21</f>
        <v>36000</v>
      </c>
      <c r="G21" s="140"/>
      <c r="H21" s="190" t="s">
        <v>147</v>
      </c>
      <c r="I21" s="158"/>
      <c r="J21" s="184"/>
      <c r="K21" s="220"/>
      <c r="L21" s="221"/>
      <c r="M21" s="221"/>
      <c r="N21" s="221"/>
      <c r="O21" s="221"/>
      <c r="P21" s="222"/>
      <c r="Q21" s="192"/>
    </row>
    <row r="22" spans="2:21" ht="19.5" customHeight="1" x14ac:dyDescent="0.3">
      <c r="B22" s="45">
        <v>12</v>
      </c>
      <c r="C22" s="46" t="s">
        <v>27</v>
      </c>
      <c r="D22" s="47">
        <v>15</v>
      </c>
      <c r="E22" s="48">
        <v>2880</v>
      </c>
      <c r="F22" s="127">
        <f>D22*E22</f>
        <v>43200</v>
      </c>
      <c r="G22" s="140"/>
      <c r="H22" s="190" t="s">
        <v>147</v>
      </c>
      <c r="I22" s="160"/>
      <c r="J22" s="184"/>
      <c r="K22" s="220"/>
      <c r="L22" s="221"/>
      <c r="M22" s="221"/>
      <c r="N22" s="221"/>
      <c r="O22" s="221"/>
      <c r="P22" s="222"/>
      <c r="Q22" s="192"/>
    </row>
    <row r="23" spans="2:21" x14ac:dyDescent="0.3">
      <c r="B23" s="45">
        <v>13</v>
      </c>
      <c r="C23" s="46" t="s">
        <v>28</v>
      </c>
      <c r="D23" s="47">
        <v>9</v>
      </c>
      <c r="E23" s="48">
        <v>4400</v>
      </c>
      <c r="F23" s="127">
        <f t="shared" ref="F23:F34" si="2">D23*E23</f>
        <v>39600</v>
      </c>
      <c r="G23" s="140"/>
      <c r="H23" s="190" t="s">
        <v>147</v>
      </c>
      <c r="I23" s="160"/>
      <c r="J23" s="184"/>
      <c r="K23" s="220"/>
      <c r="L23" s="221"/>
      <c r="M23" s="221"/>
      <c r="N23" s="221"/>
      <c r="O23" s="221"/>
      <c r="P23" s="222"/>
      <c r="Q23" s="192"/>
    </row>
    <row r="24" spans="2:21" x14ac:dyDescent="0.3">
      <c r="B24" s="45">
        <v>14</v>
      </c>
      <c r="C24" s="46" t="s">
        <v>30</v>
      </c>
      <c r="D24" s="47">
        <v>8</v>
      </c>
      <c r="E24" s="48">
        <v>16685</v>
      </c>
      <c r="F24" s="127">
        <f>D24*E24</f>
        <v>133480</v>
      </c>
      <c r="G24" s="140"/>
      <c r="H24" s="190" t="s">
        <v>147</v>
      </c>
      <c r="I24" s="155"/>
      <c r="J24" s="184"/>
      <c r="K24" s="220"/>
      <c r="L24" s="221"/>
      <c r="M24" s="221"/>
      <c r="N24" s="221"/>
      <c r="O24" s="221"/>
      <c r="P24" s="222"/>
      <c r="Q24" s="192"/>
    </row>
    <row r="25" spans="2:21" x14ac:dyDescent="0.3">
      <c r="B25" s="45">
        <v>15</v>
      </c>
      <c r="C25" s="46" t="s">
        <v>31</v>
      </c>
      <c r="D25" s="47">
        <v>300</v>
      </c>
      <c r="E25" s="48">
        <v>350</v>
      </c>
      <c r="F25" s="127">
        <f>D25*E25</f>
        <v>105000</v>
      </c>
      <c r="G25" s="140"/>
      <c r="H25" s="190" t="s">
        <v>147</v>
      </c>
      <c r="I25" s="155"/>
      <c r="J25" s="184"/>
      <c r="K25" s="220"/>
      <c r="L25" s="221"/>
      <c r="M25" s="221"/>
      <c r="N25" s="221"/>
      <c r="O25" s="221"/>
      <c r="P25" s="222"/>
      <c r="Q25" s="192"/>
    </row>
    <row r="26" spans="2:21" x14ac:dyDescent="0.3">
      <c r="B26" s="45">
        <v>16</v>
      </c>
      <c r="C26" s="46" t="s">
        <v>33</v>
      </c>
      <c r="D26" s="47">
        <v>7</v>
      </c>
      <c r="E26" s="48">
        <v>2865</v>
      </c>
      <c r="F26" s="127">
        <f t="shared" si="2"/>
        <v>20055</v>
      </c>
      <c r="G26" s="140"/>
      <c r="H26" s="190" t="s">
        <v>147</v>
      </c>
      <c r="I26" s="119"/>
      <c r="J26" s="184"/>
      <c r="K26" s="220"/>
      <c r="L26" s="221"/>
      <c r="M26" s="221"/>
      <c r="N26" s="221"/>
      <c r="O26" s="221"/>
      <c r="P26" s="222"/>
      <c r="Q26" s="192"/>
    </row>
    <row r="27" spans="2:21" x14ac:dyDescent="0.3">
      <c r="B27" s="45">
        <v>17</v>
      </c>
      <c r="C27" s="46" t="s">
        <v>34</v>
      </c>
      <c r="D27" s="47">
        <v>7</v>
      </c>
      <c r="E27" s="48">
        <v>1545</v>
      </c>
      <c r="F27" s="127">
        <f t="shared" si="2"/>
        <v>10815</v>
      </c>
      <c r="G27" s="140"/>
      <c r="H27" s="190" t="s">
        <v>147</v>
      </c>
      <c r="I27" s="119"/>
      <c r="J27" s="184"/>
      <c r="K27" s="220"/>
      <c r="L27" s="221"/>
      <c r="M27" s="221"/>
      <c r="N27" s="221"/>
      <c r="O27" s="221"/>
      <c r="P27" s="222"/>
      <c r="Q27" s="192"/>
    </row>
    <row r="28" spans="2:21" x14ac:dyDescent="0.3">
      <c r="B28" s="45">
        <v>18</v>
      </c>
      <c r="C28" s="46" t="s">
        <v>35</v>
      </c>
      <c r="D28" s="47">
        <v>7</v>
      </c>
      <c r="E28" s="48">
        <v>1525</v>
      </c>
      <c r="F28" s="127">
        <f t="shared" si="2"/>
        <v>10675</v>
      </c>
      <c r="G28" s="140"/>
      <c r="H28" s="190" t="s">
        <v>147</v>
      </c>
      <c r="I28" s="119"/>
      <c r="J28" s="184"/>
      <c r="K28" s="220"/>
      <c r="L28" s="221"/>
      <c r="M28" s="221"/>
      <c r="N28" s="221"/>
      <c r="O28" s="221"/>
      <c r="P28" s="222"/>
      <c r="Q28" s="192"/>
    </row>
    <row r="29" spans="2:21" x14ac:dyDescent="0.3">
      <c r="B29" s="45">
        <v>19</v>
      </c>
      <c r="C29" s="46" t="s">
        <v>36</v>
      </c>
      <c r="D29" s="47">
        <v>7</v>
      </c>
      <c r="E29" s="48">
        <v>1680</v>
      </c>
      <c r="F29" s="127">
        <f t="shared" si="2"/>
        <v>11760</v>
      </c>
      <c r="G29" s="140"/>
      <c r="H29" s="190" t="s">
        <v>147</v>
      </c>
      <c r="I29" s="119"/>
      <c r="J29" s="184"/>
      <c r="K29" s="220"/>
      <c r="L29" s="221"/>
      <c r="M29" s="221"/>
      <c r="N29" s="221"/>
      <c r="O29" s="221"/>
      <c r="P29" s="222"/>
      <c r="Q29" s="192"/>
    </row>
    <row r="30" spans="2:21" x14ac:dyDescent="0.3">
      <c r="B30" s="45">
        <v>20</v>
      </c>
      <c r="C30" s="46" t="s">
        <v>37</v>
      </c>
      <c r="D30" s="47">
        <v>7</v>
      </c>
      <c r="E30" s="48">
        <v>845</v>
      </c>
      <c r="F30" s="127">
        <f t="shared" si="2"/>
        <v>5915</v>
      </c>
      <c r="G30" s="140"/>
      <c r="H30" s="190" t="s">
        <v>147</v>
      </c>
      <c r="I30" s="119"/>
      <c r="J30" s="184"/>
      <c r="K30" s="220"/>
      <c r="L30" s="221"/>
      <c r="M30" s="221"/>
      <c r="N30" s="221"/>
      <c r="O30" s="221"/>
      <c r="P30" s="222"/>
      <c r="Q30" s="192"/>
    </row>
    <row r="31" spans="2:21" x14ac:dyDescent="0.3">
      <c r="B31" s="45">
        <v>21</v>
      </c>
      <c r="C31" s="46" t="s">
        <v>38</v>
      </c>
      <c r="D31" s="47">
        <v>7</v>
      </c>
      <c r="E31" s="48">
        <v>825</v>
      </c>
      <c r="F31" s="127">
        <f t="shared" si="2"/>
        <v>5775</v>
      </c>
      <c r="G31" s="140"/>
      <c r="H31" s="190" t="s">
        <v>147</v>
      </c>
      <c r="I31" s="119"/>
      <c r="J31" s="184"/>
      <c r="K31" s="220"/>
      <c r="L31" s="221"/>
      <c r="M31" s="221"/>
      <c r="N31" s="221"/>
      <c r="O31" s="221"/>
      <c r="P31" s="222"/>
      <c r="Q31" s="192"/>
    </row>
    <row r="32" spans="2:21" x14ac:dyDescent="0.3">
      <c r="B32" s="45">
        <v>22</v>
      </c>
      <c r="C32" s="46" t="s">
        <v>39</v>
      </c>
      <c r="D32" s="47">
        <v>30</v>
      </c>
      <c r="E32" s="48">
        <v>575</v>
      </c>
      <c r="F32" s="127">
        <f t="shared" si="2"/>
        <v>17250</v>
      </c>
      <c r="G32" s="140"/>
      <c r="H32" s="190" t="s">
        <v>147</v>
      </c>
      <c r="I32" s="119"/>
      <c r="J32" s="184"/>
      <c r="K32" s="220"/>
      <c r="L32" s="221"/>
      <c r="M32" s="221"/>
      <c r="N32" s="221"/>
      <c r="O32" s="221"/>
      <c r="P32" s="222"/>
      <c r="Q32" s="192"/>
    </row>
    <row r="33" spans="2:17" x14ac:dyDescent="0.3">
      <c r="B33" s="45">
        <v>23</v>
      </c>
      <c r="C33" s="46" t="s">
        <v>40</v>
      </c>
      <c r="D33" s="47">
        <v>7</v>
      </c>
      <c r="E33" s="48">
        <v>3495</v>
      </c>
      <c r="F33" s="127">
        <f t="shared" si="2"/>
        <v>24465</v>
      </c>
      <c r="G33" s="140"/>
      <c r="H33" s="190" t="s">
        <v>147</v>
      </c>
      <c r="I33" s="119"/>
      <c r="J33" s="184"/>
      <c r="K33" s="220"/>
      <c r="L33" s="221"/>
      <c r="M33" s="221"/>
      <c r="N33" s="221"/>
      <c r="O33" s="221"/>
      <c r="P33" s="222"/>
      <c r="Q33" s="192"/>
    </row>
    <row r="34" spans="2:17" x14ac:dyDescent="0.3">
      <c r="B34" s="45">
        <v>24</v>
      </c>
      <c r="C34" s="46" t="s">
        <v>41</v>
      </c>
      <c r="D34" s="47">
        <v>7</v>
      </c>
      <c r="E34" s="48">
        <v>3195</v>
      </c>
      <c r="F34" s="127">
        <f t="shared" si="2"/>
        <v>22365</v>
      </c>
      <c r="G34" s="140"/>
      <c r="H34" s="190" t="s">
        <v>147</v>
      </c>
      <c r="I34" s="119"/>
      <c r="J34" s="184"/>
      <c r="K34" s="223"/>
      <c r="L34" s="224"/>
      <c r="M34" s="224"/>
      <c r="N34" s="224"/>
      <c r="O34" s="224"/>
      <c r="P34" s="225"/>
      <c r="Q34" s="192"/>
    </row>
    <row r="35" spans="2:17" x14ac:dyDescent="0.3">
      <c r="B35" s="2"/>
      <c r="C35" s="226" t="s">
        <v>5</v>
      </c>
      <c r="D35" s="31"/>
      <c r="E35" s="5"/>
      <c r="F35" s="54">
        <f>SUM(F19:F34)</f>
        <v>730750</v>
      </c>
      <c r="J35" s="141">
        <f>SUM(J19:J34)</f>
        <v>0</v>
      </c>
    </row>
    <row r="36" spans="2:17" x14ac:dyDescent="0.3">
      <c r="B36" s="2"/>
      <c r="C36" s="227"/>
      <c r="D36" s="31"/>
      <c r="E36" s="5"/>
      <c r="F36" s="54"/>
      <c r="J36" s="141"/>
    </row>
    <row r="37" spans="2:17" ht="15" thickBot="1" x14ac:dyDescent="0.35">
      <c r="B37" s="2"/>
      <c r="C37" s="30" t="s">
        <v>153</v>
      </c>
      <c r="D37" s="31"/>
      <c r="E37" s="5"/>
      <c r="F37" s="54"/>
      <c r="J37" s="141"/>
    </row>
    <row r="38" spans="2:17" ht="31.2" x14ac:dyDescent="0.3">
      <c r="B38" s="37" t="s">
        <v>4</v>
      </c>
      <c r="C38" s="38" t="s">
        <v>0</v>
      </c>
      <c r="D38" s="7" t="s">
        <v>1</v>
      </c>
      <c r="E38" s="39" t="s">
        <v>3</v>
      </c>
      <c r="F38" s="16" t="s">
        <v>2</v>
      </c>
      <c r="G38" s="126"/>
      <c r="H38" s="41" t="s">
        <v>1</v>
      </c>
      <c r="I38" s="43" t="s">
        <v>3</v>
      </c>
      <c r="J38" s="41" t="s">
        <v>2</v>
      </c>
      <c r="K38" s="215" t="s">
        <v>150</v>
      </c>
      <c r="L38" s="215"/>
      <c r="M38" s="215"/>
      <c r="N38" s="215"/>
      <c r="O38" s="215"/>
      <c r="P38" s="215"/>
    </row>
    <row r="39" spans="2:17" x14ac:dyDescent="0.3">
      <c r="B39" s="45">
        <v>25</v>
      </c>
      <c r="C39" s="119" t="s">
        <v>122</v>
      </c>
      <c r="D39" s="194" t="s">
        <v>147</v>
      </c>
      <c r="E39" s="119"/>
      <c r="F39" s="119"/>
      <c r="G39" s="185"/>
      <c r="H39" s="191">
        <v>4</v>
      </c>
      <c r="I39" s="151"/>
      <c r="J39" s="151"/>
    </row>
    <row r="40" spans="2:17" x14ac:dyDescent="0.3">
      <c r="B40" s="45">
        <v>26</v>
      </c>
      <c r="C40" s="119" t="s">
        <v>132</v>
      </c>
      <c r="D40" s="194" t="s">
        <v>147</v>
      </c>
      <c r="E40" s="119"/>
      <c r="F40" s="119"/>
      <c r="G40" s="144"/>
      <c r="H40" s="191">
        <v>3</v>
      </c>
      <c r="I40" s="151"/>
      <c r="J40" s="151"/>
    </row>
    <row r="41" spans="2:17" x14ac:dyDescent="0.3">
      <c r="B41" s="45">
        <v>27</v>
      </c>
      <c r="C41" s="119" t="s">
        <v>108</v>
      </c>
      <c r="D41" s="194" t="s">
        <v>147</v>
      </c>
      <c r="E41" s="119"/>
      <c r="F41" s="119"/>
      <c r="G41" s="144"/>
      <c r="H41" s="191">
        <v>6</v>
      </c>
      <c r="I41" s="151"/>
      <c r="J41" s="151"/>
    </row>
    <row r="42" spans="2:17" x14ac:dyDescent="0.3">
      <c r="B42" s="45">
        <v>28</v>
      </c>
      <c r="C42" s="119" t="s">
        <v>130</v>
      </c>
      <c r="D42" s="194" t="s">
        <v>147</v>
      </c>
      <c r="E42" s="119"/>
      <c r="F42" s="119"/>
      <c r="G42" s="144"/>
      <c r="H42" s="191">
        <v>13</v>
      </c>
      <c r="I42" s="119"/>
      <c r="J42" s="151"/>
    </row>
    <row r="43" spans="2:17" x14ac:dyDescent="0.3">
      <c r="B43" s="45">
        <v>29</v>
      </c>
      <c r="C43" s="119" t="s">
        <v>112</v>
      </c>
      <c r="D43" s="194" t="s">
        <v>147</v>
      </c>
      <c r="E43" s="119"/>
      <c r="F43" s="119"/>
      <c r="G43" s="144"/>
      <c r="H43" s="191">
        <v>17</v>
      </c>
      <c r="I43" s="119"/>
      <c r="J43" s="151"/>
    </row>
    <row r="44" spans="2:17" x14ac:dyDescent="0.3">
      <c r="B44" s="45">
        <v>30</v>
      </c>
      <c r="C44" s="119" t="s">
        <v>128</v>
      </c>
      <c r="D44" s="194" t="s">
        <v>147</v>
      </c>
      <c r="E44" s="119"/>
      <c r="F44" s="119"/>
      <c r="G44" s="144"/>
      <c r="H44" s="191">
        <v>1</v>
      </c>
      <c r="I44" s="119"/>
      <c r="J44" s="151"/>
    </row>
    <row r="45" spans="2:17" x14ac:dyDescent="0.3">
      <c r="B45" s="45">
        <v>31</v>
      </c>
      <c r="C45" s="119" t="s">
        <v>129</v>
      </c>
      <c r="D45" s="194" t="s">
        <v>147</v>
      </c>
      <c r="E45" s="119"/>
      <c r="F45" s="119"/>
      <c r="G45" s="144"/>
      <c r="H45" s="191">
        <v>20</v>
      </c>
      <c r="I45" s="119"/>
      <c r="J45" s="151"/>
    </row>
    <row r="46" spans="2:17" x14ac:dyDescent="0.3">
      <c r="B46" s="45">
        <v>32</v>
      </c>
      <c r="C46" s="119" t="s">
        <v>93</v>
      </c>
      <c r="D46" s="194" t="s">
        <v>147</v>
      </c>
      <c r="E46" s="119"/>
      <c r="F46" s="119"/>
      <c r="G46" s="144"/>
      <c r="H46" s="191">
        <v>30</v>
      </c>
      <c r="I46" s="151"/>
      <c r="J46" s="151"/>
    </row>
    <row r="47" spans="2:17" x14ac:dyDescent="0.3">
      <c r="B47" s="45">
        <v>33</v>
      </c>
      <c r="C47" s="119" t="s">
        <v>120</v>
      </c>
      <c r="D47" s="194" t="s">
        <v>147</v>
      </c>
      <c r="E47" s="119"/>
      <c r="F47" s="119"/>
      <c r="G47" s="144"/>
      <c r="H47" s="191">
        <v>3</v>
      </c>
      <c r="I47" s="151"/>
      <c r="J47" s="151"/>
    </row>
    <row r="48" spans="2:17" x14ac:dyDescent="0.3">
      <c r="B48" s="45">
        <v>34</v>
      </c>
      <c r="C48" s="119" t="s">
        <v>121</v>
      </c>
      <c r="D48" s="194" t="s">
        <v>147</v>
      </c>
      <c r="E48" s="119"/>
      <c r="F48" s="119"/>
      <c r="G48" s="144"/>
      <c r="H48" s="191">
        <v>4</v>
      </c>
      <c r="I48" s="151"/>
      <c r="J48" s="151"/>
    </row>
    <row r="49" spans="2:10" x14ac:dyDescent="0.3">
      <c r="B49" s="45">
        <v>35</v>
      </c>
      <c r="C49" s="119" t="s">
        <v>96</v>
      </c>
      <c r="D49" s="194" t="s">
        <v>147</v>
      </c>
      <c r="E49" s="119"/>
      <c r="F49" s="119"/>
      <c r="G49" s="144"/>
      <c r="H49" s="191">
        <v>5</v>
      </c>
      <c r="I49" s="151"/>
      <c r="J49" s="151"/>
    </row>
    <row r="50" spans="2:10" x14ac:dyDescent="0.3">
      <c r="B50" s="45">
        <v>36</v>
      </c>
      <c r="C50" s="119" t="s">
        <v>97</v>
      </c>
      <c r="D50" s="194" t="s">
        <v>147</v>
      </c>
      <c r="E50" s="119"/>
      <c r="F50" s="119"/>
      <c r="G50" s="144"/>
      <c r="H50" s="191">
        <v>3</v>
      </c>
      <c r="I50" s="151"/>
      <c r="J50" s="151"/>
    </row>
    <row r="51" spans="2:10" x14ac:dyDescent="0.3">
      <c r="B51" s="45">
        <v>37</v>
      </c>
      <c r="C51" s="119" t="s">
        <v>143</v>
      </c>
      <c r="D51" s="194" t="s">
        <v>147</v>
      </c>
      <c r="E51" s="119"/>
      <c r="F51" s="119"/>
      <c r="G51" s="144"/>
      <c r="H51" s="191">
        <v>3</v>
      </c>
      <c r="I51" s="151"/>
      <c r="J51" s="151"/>
    </row>
    <row r="52" spans="2:10" x14ac:dyDescent="0.3">
      <c r="B52" s="45">
        <v>38</v>
      </c>
      <c r="C52" s="119" t="s">
        <v>124</v>
      </c>
      <c r="D52" s="194" t="s">
        <v>147</v>
      </c>
      <c r="E52" s="119"/>
      <c r="F52" s="119"/>
      <c r="G52" s="144"/>
      <c r="H52" s="191">
        <v>3</v>
      </c>
      <c r="I52" s="151"/>
      <c r="J52" s="151"/>
    </row>
    <row r="53" spans="2:10" x14ac:dyDescent="0.3">
      <c r="B53" s="45">
        <v>39</v>
      </c>
      <c r="C53" s="119" t="s">
        <v>125</v>
      </c>
      <c r="D53" s="194" t="s">
        <v>147</v>
      </c>
      <c r="E53" s="119"/>
      <c r="F53" s="119"/>
      <c r="G53" s="144"/>
      <c r="H53" s="191">
        <v>3</v>
      </c>
      <c r="I53" s="151"/>
      <c r="J53" s="151"/>
    </row>
    <row r="54" spans="2:10" x14ac:dyDescent="0.3">
      <c r="B54" s="45">
        <v>40</v>
      </c>
      <c r="C54" s="119" t="s">
        <v>102</v>
      </c>
      <c r="D54" s="194" t="s">
        <v>147</v>
      </c>
      <c r="E54" s="119"/>
      <c r="F54" s="119"/>
      <c r="G54" s="144"/>
      <c r="H54" s="191">
        <v>6</v>
      </c>
      <c r="I54" s="151"/>
      <c r="J54" s="151"/>
    </row>
    <row r="55" spans="2:10" x14ac:dyDescent="0.3">
      <c r="B55" s="45">
        <v>41</v>
      </c>
      <c r="C55" s="119" t="s">
        <v>126</v>
      </c>
      <c r="D55" s="194" t="s">
        <v>147</v>
      </c>
      <c r="E55" s="119"/>
      <c r="F55" s="119"/>
      <c r="G55" s="144"/>
      <c r="H55" s="191">
        <v>5</v>
      </c>
      <c r="I55" s="151"/>
      <c r="J55" s="151"/>
    </row>
    <row r="56" spans="2:10" x14ac:dyDescent="0.3">
      <c r="B56" s="45">
        <v>42</v>
      </c>
      <c r="C56" s="119" t="s">
        <v>105</v>
      </c>
      <c r="D56" s="194" t="s">
        <v>147</v>
      </c>
      <c r="E56" s="119"/>
      <c r="F56" s="119"/>
      <c r="G56" s="144"/>
      <c r="H56" s="191">
        <v>2</v>
      </c>
      <c r="I56" s="151"/>
      <c r="J56" s="151"/>
    </row>
    <row r="57" spans="2:10" x14ac:dyDescent="0.3">
      <c r="B57" s="45">
        <v>43</v>
      </c>
      <c r="C57" s="119" t="s">
        <v>131</v>
      </c>
      <c r="D57" s="194" t="s">
        <v>147</v>
      </c>
      <c r="E57" s="119"/>
      <c r="F57" s="119"/>
      <c r="G57" s="144"/>
      <c r="H57" s="191">
        <v>2</v>
      </c>
      <c r="I57" s="151"/>
      <c r="J57" s="151"/>
    </row>
    <row r="58" spans="2:10" x14ac:dyDescent="0.3">
      <c r="B58" s="45">
        <v>44</v>
      </c>
      <c r="C58" s="119" t="s">
        <v>107</v>
      </c>
      <c r="D58" s="194" t="s">
        <v>147</v>
      </c>
      <c r="E58" s="119"/>
      <c r="F58" s="119"/>
      <c r="G58" s="144"/>
      <c r="H58" s="191">
        <v>4</v>
      </c>
      <c r="I58" s="151"/>
      <c r="J58" s="151"/>
    </row>
    <row r="59" spans="2:10" x14ac:dyDescent="0.3">
      <c r="B59" s="45">
        <v>45</v>
      </c>
      <c r="C59" s="119" t="s">
        <v>109</v>
      </c>
      <c r="D59" s="194" t="s">
        <v>147</v>
      </c>
      <c r="E59" s="119"/>
      <c r="F59" s="119"/>
      <c r="G59" s="144"/>
      <c r="H59" s="191">
        <v>3</v>
      </c>
      <c r="I59" s="151"/>
      <c r="J59" s="151"/>
    </row>
    <row r="60" spans="2:10" x14ac:dyDescent="0.3">
      <c r="B60" s="45">
        <v>46</v>
      </c>
      <c r="C60" s="119" t="s">
        <v>110</v>
      </c>
      <c r="D60" s="194" t="s">
        <v>147</v>
      </c>
      <c r="E60" s="119"/>
      <c r="F60" s="119"/>
      <c r="G60" s="144"/>
      <c r="H60" s="191">
        <v>4</v>
      </c>
      <c r="I60" s="151"/>
      <c r="J60" s="151"/>
    </row>
    <row r="61" spans="2:10" x14ac:dyDescent="0.3">
      <c r="B61" s="45">
        <v>47</v>
      </c>
      <c r="C61" s="119" t="s">
        <v>127</v>
      </c>
      <c r="D61" s="194" t="s">
        <v>147</v>
      </c>
      <c r="E61" s="119"/>
      <c r="F61" s="119"/>
      <c r="G61" s="144"/>
      <c r="H61" s="191">
        <v>11</v>
      </c>
      <c r="I61" s="119"/>
      <c r="J61" s="151"/>
    </row>
    <row r="62" spans="2:10" x14ac:dyDescent="0.3">
      <c r="B62" s="45">
        <v>48</v>
      </c>
      <c r="C62" s="142" t="s">
        <v>115</v>
      </c>
      <c r="D62" s="194" t="s">
        <v>147</v>
      </c>
      <c r="E62" s="119"/>
      <c r="F62" s="119"/>
      <c r="G62" s="144"/>
      <c r="H62" s="193">
        <v>2</v>
      </c>
      <c r="I62" s="142"/>
      <c r="J62" s="151"/>
    </row>
    <row r="63" spans="2:10" x14ac:dyDescent="0.3">
      <c r="B63" s="45">
        <v>49</v>
      </c>
      <c r="C63" s="119" t="s">
        <v>144</v>
      </c>
      <c r="D63" s="194" t="s">
        <v>147</v>
      </c>
      <c r="E63" s="119"/>
      <c r="F63" s="119"/>
      <c r="G63" s="144"/>
      <c r="H63" s="191">
        <v>2</v>
      </c>
      <c r="I63" s="119"/>
      <c r="J63" s="151"/>
    </row>
    <row r="64" spans="2:10" x14ac:dyDescent="0.3">
      <c r="B64" s="45">
        <v>50</v>
      </c>
      <c r="C64" s="119" t="s">
        <v>146</v>
      </c>
      <c r="D64" s="194" t="s">
        <v>147</v>
      </c>
      <c r="E64" s="119"/>
      <c r="F64" s="119"/>
      <c r="G64" s="144"/>
      <c r="H64" s="191">
        <v>1</v>
      </c>
      <c r="I64" s="119"/>
      <c r="J64" s="151"/>
    </row>
    <row r="65" spans="2:10" x14ac:dyDescent="0.3">
      <c r="B65" s="45">
        <v>51</v>
      </c>
      <c r="C65" s="119" t="s">
        <v>145</v>
      </c>
      <c r="D65" s="194" t="s">
        <v>147</v>
      </c>
      <c r="E65" s="119"/>
      <c r="F65" s="119"/>
      <c r="G65" s="144"/>
      <c r="H65" s="191">
        <v>1</v>
      </c>
      <c r="I65" s="119"/>
      <c r="J65" s="151"/>
    </row>
    <row r="66" spans="2:10" x14ac:dyDescent="0.3">
      <c r="B66" s="45">
        <v>52</v>
      </c>
      <c r="C66" s="119" t="s">
        <v>148</v>
      </c>
      <c r="D66" s="194" t="s">
        <v>147</v>
      </c>
      <c r="E66" s="119"/>
      <c r="F66" s="119"/>
      <c r="G66" s="144"/>
      <c r="H66" s="119"/>
      <c r="I66" s="119"/>
      <c r="J66" s="151"/>
    </row>
    <row r="67" spans="2:10" x14ac:dyDescent="0.3">
      <c r="J67" s="154"/>
    </row>
  </sheetData>
  <mergeCells count="15">
    <mergeCell ref="K13:P13"/>
    <mergeCell ref="H4:P4"/>
    <mergeCell ref="B4:F4"/>
    <mergeCell ref="K6:P6"/>
    <mergeCell ref="K7:P7"/>
    <mergeCell ref="K14:P14"/>
    <mergeCell ref="K19:P34"/>
    <mergeCell ref="K18:P18"/>
    <mergeCell ref="K38:P38"/>
    <mergeCell ref="B2:P2"/>
    <mergeCell ref="K8:P8"/>
    <mergeCell ref="K9:P9"/>
    <mergeCell ref="K10:P10"/>
    <mergeCell ref="K11:P11"/>
    <mergeCell ref="K12:P12"/>
  </mergeCells>
  <printOptions horizontalCentered="1" verticalCentered="1"/>
  <pageMargins left="0.20866141699999999" right="0.20866141699999999" top="0.5" bottom="0.74803149606299202" header="0.31496062992126" footer="0.31496062992126"/>
  <pageSetup scale="90" orientation="landscape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8</vt:i4>
      </vt:variant>
    </vt:vector>
  </HeadingPairs>
  <TitlesOfParts>
    <vt:vector size="28" baseType="lpstr">
      <vt:lpstr>Estimated Exp</vt:lpstr>
      <vt:lpstr>Estimated Exp (2)</vt:lpstr>
      <vt:lpstr>Payment 22-09-2025</vt:lpstr>
      <vt:lpstr>Payment 12-09-2025  made</vt:lpstr>
      <vt:lpstr>Payment 06-10-2025  made </vt:lpstr>
      <vt:lpstr>Payment 21-10-2025  made </vt:lpstr>
      <vt:lpstr>Payment 25-10-2025  made </vt:lpstr>
      <vt:lpstr> 06-11-2025  Addition</vt:lpstr>
      <vt:lpstr>Payment 18-11-2025  made</vt:lpstr>
      <vt:lpstr>Summery 18-11-2025</vt:lpstr>
      <vt:lpstr>26-12-2025 Report</vt:lpstr>
      <vt:lpstr>26-12-2025 Report without land </vt:lpstr>
      <vt:lpstr>26-12-2025 Report without  (2)</vt:lpstr>
      <vt:lpstr>26-12-2025 Report without </vt:lpstr>
      <vt:lpstr>26-12-2025 Report without   (3</vt:lpstr>
      <vt:lpstr>26-12-2025 Report without  (3)</vt:lpstr>
      <vt:lpstr>Sheet3</vt:lpstr>
      <vt:lpstr>26-12-2025 Report without  (5)</vt:lpstr>
      <vt:lpstr>14-01-2025 Report without   (6</vt:lpstr>
      <vt:lpstr>Inventory </vt:lpstr>
      <vt:lpstr>' 06-11-2025  Addition'!Print_Area</vt:lpstr>
      <vt:lpstr>'Inventory '!Print_Area</vt:lpstr>
      <vt:lpstr>'Payment 06-10-2025  made '!Print_Area</vt:lpstr>
      <vt:lpstr>'Payment 12-09-2025  made'!Print_Area</vt:lpstr>
      <vt:lpstr>'Payment 18-11-2025  made'!Print_Area</vt:lpstr>
      <vt:lpstr>'Payment 21-10-2025  made '!Print_Area</vt:lpstr>
      <vt:lpstr>'Payment 22-09-2025'!Print_Area</vt:lpstr>
      <vt:lpstr>'Payment 25-10-2025  made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Aqeel</cp:lastModifiedBy>
  <cp:lastPrinted>2026-02-06T16:45:09Z</cp:lastPrinted>
  <dcterms:created xsi:type="dcterms:W3CDTF">2025-07-24T06:28:28Z</dcterms:created>
  <dcterms:modified xsi:type="dcterms:W3CDTF">2026-02-06T16:48:04Z</dcterms:modified>
</cp:coreProperties>
</file>